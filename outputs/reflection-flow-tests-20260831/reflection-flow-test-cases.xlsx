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bda8f6bd3048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e57fe1a9ed54675"/>
    <x:sheet xmlns:r="http://schemas.openxmlformats.org/officeDocument/2006/relationships" name="TestCases" sheetId="2" r:id="Rd454b0ca7fc740cf"/>
    <x:sheet xmlns:r="http://schemas.openxmlformats.org/officeDocument/2006/relationships" name="AutomationMap" sheetId="3" r:id="Rddd3f928e9e4448f"/>
    <x:sheet xmlns:r="http://schemas.openxmlformats.org/officeDocument/2006/relationships" name="ApiStateMatrix" sheetId="4" r:id="Rf19b44b61a1e43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8"/>
      <x:color rgb="F8F5EE"/>
      <x:name val="Carlito"/>
    </x:font>
    <x:font>
      <x:i/>
      <x:sz val="11"/>
      <x:color rgb="4F5C52"/>
      <x:name val="Carlito"/>
    </x:font>
    <x:font>
      <x:b/>
      <x:sz val="11"/>
      <x:color rgb="182018"/>
      <x:name val="Carlito"/>
    </x:font>
    <x:font>
      <x:b/>
      <x:sz val="11"/>
      <x:color rgb="1F271F"/>
      <x:name val="Carlito"/>
    </x:font>
    <x:font>
      <x:sz val="11"/>
      <x:color rgb="1F271F"/>
      <x:name val="Carlito"/>
    </x:font>
    <x:font>
      <x:b/>
      <x:sz val="11"/>
      <x:color rgb="1E261E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163124"/>
      </x:patternFill>
    </x:fill>
    <x:fill>
      <x:patternFill patternType="solid">
        <x:fgColor rgb="F5EFE2"/>
      </x:patternFill>
    </x:fill>
    <x:fill>
      <x:patternFill patternType="solid">
        <x:fgColor rgb="E3D4AE"/>
      </x:patternFill>
    </x:fill>
    <x:fill>
      <x:patternFill patternType="solid">
        <x:fgColor rgb="FCFAF4"/>
      </x:patternFill>
    </x:fill>
    <x:fill>
      <x:patternFill patternType="solid">
        <x:fgColor rgb="FBE7E7"/>
      </x:patternFill>
    </x:fill>
    <x:fill>
      <x:patternFill patternType="solid">
        <x:fgColor rgb="E7F3E6"/>
      </x:patternFill>
    </x:fill>
    <x:fill>
      <x:patternFill patternType="solid">
        <x:fgColor rgb="F8F1D6"/>
      </x:patternFill>
    </x:fill>
    <x:fill>
      <x:patternFill patternType="solid">
        <x:fgColor rgb="F8ECEC"/>
      </x:patternFill>
    </x:fill>
    <x:fill>
      <x:patternFill patternType="solid">
        <x:fgColor rgb="EDF4E8"/>
      </x:patternFill>
    </x:fill>
    <x:fill>
      <x:patternFill patternType="solid">
        <x:fgColor rgb="F4EED7"/>
      </x:patternFill>
    </x:fill>
  </x:fills>
  <x:borders count="2">
    <x:border/>
    <x:border/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4" fillId="5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/>
    <x:xf numFmtId="200" fontId="5" fillId="5" borderId="1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20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200" fontId="5" fillId="5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200" fontId="5" fillId="5" borderId="0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wrapText="1"/>
    </x:xf>
    <x:xf numFmtId="200" fontId="5" fillId="5" borderId="1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200" fontId="5" fillId="5" borderId="0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200" fontId="5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horizontal="center" vertical="top" wrapText="1"/>
    </x:xf>
    <x:xf numFmtId="0" fontId="6" fillId="6" borderId="1" xfId="0" applyNumberFormat="1" applyFont="1" applyFill="1" applyBorder="1" applyAlignment="1">
      <x:alignment horizontal="center" vertical="top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horizontal="center"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horizontal="center" vertical="top" wrapText="1"/>
    </x:xf>
    <x:xf numFmtId="0" fontId="6" fillId="8" borderId="1" xfId="0" applyNumberFormat="1" applyFont="1" applyFill="1" applyBorder="1" applyAlignment="1">
      <x:alignment horizontal="center" vertical="top" wrapText="1"/>
    </x:xf>
    <x:xf numFmtId="0" fontId="6" fillId="8" borderId="0" xfId="0" applyNumberFormat="1" applyFont="1" applyFill="1" applyBorder="1" applyAlignment="1">
      <x:alignment horizontal="center" vertical="center" wrapText="1"/>
    </x:xf>
    <x:xf numFmtId="0" fontId="6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horizontal="center" vertical="top" wrapText="1"/>
    </x:xf>
    <x:xf numFmtId="0" fontId="0" fillId="9" borderId="1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vertical="top" wrapText="1"/>
    </x:xf>
    <x:xf numFmtId="0" fontId="0" fillId="10" borderId="1" xfId="0" applyNumberFormat="1" applyFont="1" applyFill="1" applyBorder="1" applyAlignment="1">
      <x:alignment vertical="top" wrapText="1"/>
    </x:xf>
    <x:xf numFmtId="0" fontId="6" fillId="10" borderId="0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6" fillId="10" borderId="0" xfId="0" applyNumberFormat="1" applyFont="1" applyFill="1" applyBorder="1" applyAlignment="1">
      <x:alignment horizontal="center" vertical="top" wrapText="1"/>
    </x:xf>
    <x:xf numFmtId="0" fontId="6" fillId="10" borderId="1" xfId="0" applyNumberFormat="1" applyFont="1" applyFill="1" applyBorder="1" applyAlignment="1">
      <x:alignment horizontal="center" vertical="top" wrapText="1"/>
    </x:xf>
    <x:xf numFmtId="0" fontId="6" fillId="10" borderId="0" xfId="0" applyNumberFormat="1" applyFont="1" applyFill="1" applyBorder="1" applyAlignment="1">
      <x:alignment horizontal="center" vertical="center" wrapText="1"/>
    </x:xf>
    <x:xf numFmtId="0" fontId="6" fillId="10" borderId="1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vertical="top" wrapText="1"/>
    </x:xf>
    <x:xf numFmtId="0" fontId="0" fillId="11" borderId="1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horizontal="center" vertical="top" wrapText="1"/>
    </x:xf>
    <x:xf numFmtId="0" fontId="0" fillId="11" borderId="1" xfId="0" applyNumberFormat="1" applyFont="1" applyFill="1" applyBorder="1" applyAlignment="1">
      <x:alignment horizontal="center" vertical="top" wrapText="1"/>
    </x:xf>
    <x:xf numFmtId="0" fontId="0" fillId="11" borderId="0" xfId="0" applyNumberFormat="1" applyFont="1" applyFill="1" applyBorder="1" applyAlignment="1">
      <x:alignment horizontal="center" vertical="center" wrapText="1"/>
    </x:xf>
    <x:xf numFmtId="0" fontId="0" fillId="11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0a813cc2b84ad6" /><Relationship Type="http://schemas.openxmlformats.org/officeDocument/2006/relationships/theme" Target="/xl/theme/theme1.xml" Id="Rd2e4455050dc4695" /><Relationship Type="http://schemas.openxmlformats.org/officeDocument/2006/relationships/sharedStrings" Target="/xl/sharedStrings.xml" Id="R90dff8e20f244a96" /><Relationship Type="http://schemas.openxmlformats.org/officeDocument/2006/relationships/worksheet" Target="/xl/worksheets/sheet1.xml" Id="R9e57fe1a9ed54675" /><Relationship Type="http://schemas.openxmlformats.org/officeDocument/2006/relationships/worksheet" Target="/xl/worksheets/sheet2.xml" Id="Rd454b0ca7fc740cf" /><Relationship Type="http://schemas.openxmlformats.org/officeDocument/2006/relationships/worksheet" Target="/xl/worksheets/sheet3.xml" Id="Rddd3f928e9e4448f" /><Relationship Type="http://schemas.openxmlformats.org/officeDocument/2006/relationships/worksheet" Target="/xl/worksheets/sheet4.xml" Id="Rf19b44b61a1e434f" /></Relationships>
</file>

<file path=xl/tables/table1.xml><?xml version="1.0" encoding="utf-8"?>
<x:table xmlns:x="http://schemas.openxmlformats.org/spreadsheetml/2006/main" id="1" name="ReflectionAreaSummary" displayName="ReflectionAreaSummary" ref="A16:B22" headerRowCount="1">
  <x:tableColumns count="2">
    <x:tableColumn id="1" name="Area"/>
    <x:tableColumn id="2" name="Case Count"/>
  </x:tableColumns>
  <x:tableStyleInfo name="TableStyleMedium2" showRowStripes="1"/>
</x:table>
</file>

<file path=xl/tables/table2.xml><?xml version="1.0" encoding="utf-8"?>
<x:table xmlns:x="http://schemas.openxmlformats.org/spreadsheetml/2006/main" id="2" name="ReflectionTestCases" displayName="ReflectionTestCases" ref="A4:M54" headerRowCount="1">
  <x:tableColumns count="13">
    <x:tableColumn id="1" name="Test Case ID"/>
    <x:tableColumn id="2" name="Flow Area"/>
    <x:tableColumn id="3" name="Screen"/>
    <x:tableColumn id="4" name="Priority"/>
    <x:tableColumn id="5" name="Coverage Type"/>
    <x:tableColumn id="6" name="Scenario"/>
    <x:tableColumn id="7" name="Preconditions"/>
    <x:tableColumn id="8" name="Steps"/>
    <x:tableColumn id="9" name="Expected Result"/>
    <x:tableColumn id="10" name="API / Route Validation"/>
    <x:tableColumn id="11" name="Automated Today"/>
    <x:tableColumn id="12" name="Current Test Ref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eflectionAutomationMap" displayName="ReflectionAutomationMap" ref="A4:E10" headerRowCount="1">
  <x:tableColumns count="5">
    <x:tableColumn id="1" name="Test File"/>
    <x:tableColumn id="2" name="Flow Area"/>
    <x:tableColumn id="3" name="Covered IDs"/>
    <x:tableColumn id="4" name="Open Gaps"/>
    <x:tableColumn id="5" name="Comment"/>
  </x:tableColumns>
  <x:tableStyleInfo name="TableStyleMedium2" showRowStripes="1"/>
</x:table>
</file>

<file path=xl/tables/table4.xml><?xml version="1.0" encoding="utf-8"?>
<x:table xmlns:x="http://schemas.openxmlformats.org/spreadsheetml/2006/main" id="4" name="ReflectionApiMatrix" displayName="ReflectionApiMatrix" ref="A4:F15" headerRowCount="1">
  <x:tableColumns count="6">
    <x:tableColumn id="1" name="Endpoint"/>
    <x:tableColumn id="2" name="Used In"/>
    <x:tableColumn id="3" name="Happy Path"/>
    <x:tableColumn id="4" name="Negative / Recovery"/>
    <x:tableColumn id="5" name="Params / Query Notes"/>
    <x:tableColumn id="6" name="Current Code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7b11558f9249c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5279da9504846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bd8125173ac43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4d4877626bd45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43000030517578" hidden="0" customWidth="1"/>
    <x:col min="2" max="2" width="29.290000915527344" hidden="0" customWidth="1"/>
    <x:col min="3" max="3" width="16.43000030517578" hidden="0" customWidth="1"/>
    <x:col min="4" max="4" width="23.56999969482422" hidden="0" customWidth="1"/>
    <x:col min="5" max="5" width="30.709999084472656" hidden="0" customWidth="1"/>
    <x:col min="6" max="6" width="30.709999084472656" hidden="0" customWidth="1"/>
  </x:cols>
  <x:sheetData>
    <x:row r="1" ht="22.5" customHeight="1">
      <x:c r="A1" s="6" t="str">
        <x:v>Nimbus Reflection Flow Test Coverage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 ht="22.5" customHeight="1">
      <x:c r="A2" s="12" t="str">
        <x:v>Generated on August 31, 2026 from the current reflection explore, detail, entry, archive, review, and modal flows.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 ht="21" customHeight="1">
      <x:c r="A4" s="22" t="str">
        <x:v>Scope</x:v>
      </x:c>
      <x:c r="B4" s="26" t="str">
        <x:v>Guided reflection flow only</x:v>
      </x:c>
    </x:row>
    <x:row r="5" ht="21" customHeight="1">
      <x:c r="A5" s="22" t="str">
        <x:v>Screens</x:v>
      </x:c>
      <x:c r="B5" s="26" t="str">
        <x:v>ReflectionsScreen, ReflectionDetailScreen, ReflectionEntryScreen, ReflectionArchiveScreen, ReflectionSubmissionScreen, ActionModal</x:v>
      </x:c>
    </x:row>
    <x:row r="6" ht="21" customHeight="1">
      <x:c r="A6" s="22" t="str">
        <x:v>Environment</x:v>
      </x:c>
      <x:c r="B6" s="26" t="str">
        <x:v>Mobile app regression and API-state validation</x:v>
      </x:c>
    </x:row>
    <x:row r="7" ht="21" customHeight="1">
      <x:c r="A7" s="22" t="str">
        <x:v>Test data</x:v>
      </x:c>
      <x:c r="B7" s="26" t="str">
        <x:v>Templates across multiple categories plus matched, unmatched, draft, in_progress, and completed sessions</x:v>
      </x:c>
    </x:row>
    <x:row r="8" ht="21" customHeight="1">
      <x:c r="A8" s="22" t="str">
        <x:v>Special note</x:v>
      </x:c>
      <x:c r="B8" s="26" t="str">
        <x:v>Categories API is intentionally disabled in code until it goes live</x:v>
      </x:c>
    </x:row>
    <x:row r="10" ht="21" customHeight="1">
      <x:c r="A10" s="22" t="str">
        <x:v>Metric</x:v>
      </x:c>
      <x:c r="B10" s="22" t="str">
        <x:v>Value</x:v>
      </x:c>
      <x:c r="C10" s="22" t="str">
        <x:v>Metric</x:v>
      </x:c>
      <x:c r="D10" s="22" t="str">
        <x:v>Value</x:v>
      </x:c>
      <x:c r="E10" s="22" t="str">
        <x:v>Metric</x:v>
      </x:c>
      <x:c r="F10" s="22" t="str">
        <x:v>Value</x:v>
      </x:c>
    </x:row>
    <x:row r="11" ht="21" customHeight="1">
      <x:c r="A11" s="36" t="str">
        <x:v>Total cases</x:v>
      </x:c>
      <x:c r="B11" s="36" t="n">
        <x:f>COUNTA(TestCases!A2:A200)</x:f>
        <x:v>52</x:v>
      </x:c>
      <x:c r="C11" s="36" t="str">
        <x:v>Automated today</x:v>
      </x:c>
      <x:c r="D11" s="36" t="n">
        <x:f>COUNTIF(TestCases!K2:K200,"Yes")+COUNTIF(TestCases!K2:K200,"Partial")</x:f>
        <x:v>24</x:v>
      </x:c>
      <x:c r="E11" s="36" t="str">
        <x:v>Manual gap</x:v>
      </x:c>
      <x:c r="F11" s="36" t="n">
        <x:f>B11-D11</x:f>
        <x:v>28</x:v>
      </x:c>
    </x:row>
    <x:row r="12" ht="21" customHeight="1">
      <x:c r="A12" s="50" t="str">
        <x:v>P0 cases</x:v>
      </x:c>
      <x:c r="B12" s="50" t="n">
        <x:f>COUNTIF(TestCases!D2:D200,"P0")</x:f>
        <x:v>23</x:v>
      </x:c>
      <x:c r="C12" s="50" t="str">
        <x:v>P1 cases</x:v>
      </x:c>
      <x:c r="D12" s="50" t="n">
        <x:f>COUNTIF(TestCases!D2:D200,"P1")</x:f>
        <x:v>21</x:v>
      </x:c>
      <x:c r="E12" s="50" t="str">
        <x:v>P2 cases</x:v>
      </x:c>
      <x:c r="F12" s="50" t="n">
        <x:f>COUNTIF(TestCases!D2:D200,"P2")</x:f>
        <x:v>6</x:v>
      </x:c>
    </x:row>
    <x:row r="13" ht="21" customHeight="1">
      <x:c r="A13" s="50" t="str">
        <x:v>Automation ratio</x:v>
      </x:c>
      <x:c r="B13" s="51" t="n">
        <x:f>IF(B11=0,0,D11/B11)</x:f>
        <x:v>0.46153846153846156</x:v>
      </x:c>
      <x:c r="C13" s="50" t="str">
        <x:v>Areas covered</x:v>
      </x:c>
      <x:c r="D13" s="50" t="n">
        <x:v>6</x:v>
      </x:c>
      <x:c r="E13" s="50" t="str">
        <x:v>Sheets</x:v>
      </x:c>
      <x:c r="F13" s="50" t="n">
        <x:v>4</x:v>
      </x:c>
    </x:row>
    <x:row r="16" ht="21" customHeight="1">
      <x:c r="A16" s="22" t="str">
        <x:v>Area</x:v>
      </x:c>
      <x:c r="B16" s="22" t="str">
        <x:v>Case Count</x:v>
      </x:c>
      <x:c r="D16" s="22" t="str">
        <x:v>Release Focus</x:v>
      </x:c>
      <x:c r="E16" s="22" t="str">
        <x:v>Intent</x:v>
      </x:c>
      <x:c r="F16" s="22" t="str">
        <x:v>Action</x:v>
      </x:c>
    </x:row>
    <x:row r="17">
      <x:c r="A17" s="26" t="str">
        <x:v>Explore Library</x:v>
      </x:c>
      <x:c r="B17" s="26" t="n">
        <x:f>COUNTIF(TestCases!B:B,A17)</x:f>
        <x:v>10</x:v>
      </x:c>
      <x:c r="D17" s="26" t="str">
        <x:v>Resume integrity</x:v>
      </x:c>
      <x:c r="E17" s="26" t="str">
        <x:v>Make sure existing sessions never lose continuity.</x:v>
      </x:c>
      <x:c r="F17" s="26" t="str">
        <x:v>Prioritize RF-003, RF-014, RF-017, RF-023 to RF-026, RF-039, RF-042</x:v>
      </x:c>
    </x:row>
    <x:row r="18">
      <x:c r="A18" s="26" t="str">
        <x:v>Detail</x:v>
      </x:c>
      <x:c r="B18" s="26" t="n">
        <x:f>COUNTIF(TestCases!B:B,A18)</x:f>
        <x:v>10</x:v>
      </x:c>
      <x:c r="D18" s="26" t="str">
        <x:v>Conflict safety</x:v>
      </x:c>
      <x:c r="E18" s="26" t="str">
        <x:v>Prevent accidental duplicate sessions for the same template.</x:v>
      </x:c>
      <x:c r="F18" s="26" t="str">
        <x:v>Prioritize RF-015, RF-018 to RF-021</x:v>
      </x:c>
    </x:row>
    <x:row r="19">
      <x:c r="A19" s="26" t="str">
        <x:v>Entry</x:v>
      </x:c>
      <x:c r="B19" s="26" t="n">
        <x:f>COUNTIF(TestCases!B:B,A19)</x:f>
        <x:v>15</x:v>
      </x:c>
      <x:c r="D19" s="26" t="str">
        <x:v>Archive review</x:v>
      </x:c>
      <x:c r="E19" s="26" t="str">
        <x:v>Completed sessions must feel reviewable and premium.</x:v>
      </x:c>
      <x:c r="F19" s="26" t="str">
        <x:v>Prioritize RF-041, RF-045 to RF-049</x:v>
      </x:c>
    </x:row>
    <x:row r="20">
      <x:c r="A20" s="26" t="str">
        <x:v>Archive</x:v>
      </x:c>
      <x:c r="B20" s="26" t="n">
        <x:f>COUNTIF(TestCases!B:B,A20)</x:f>
        <x:v>7</x:v>
      </x:c>
      <x:c r="D20" s="26" t="str">
        <x:v>Recovery states</x:v>
      </x:c>
      <x:c r="E20" s="26" t="str">
        <x:v>The flow should degrade without crashes when APIs fail.</x:v>
      </x:c>
      <x:c r="F20" s="26" t="str">
        <x:v>Prioritize RF-009, RF-010, RF-020 to RF-022, RF-032 to RF-035, RF-044</x:v>
      </x:c>
    </x:row>
    <x:row r="21">
      <x:c r="A21" s="26" t="str">
        <x:v>Review</x:v>
      </x:c>
      <x:c r="B21" s="26" t="n">
        <x:f>COUNTIF(TestCases!B:B,A21)</x:f>
        <x:v>6</x:v>
      </x:c>
      <x:c r="D21" s="26" t="str">
        <x:v>Future categories</x:v>
      </x:c>
      <x:c r="E21" s="26" t="str">
        <x:v>Enable direct categories API coverage once endpoint is live.</x:v>
      </x:c>
      <x:c r="F21" s="26" t="str">
        <x:v>Convert RF-002 into a direct API validation case later</x:v>
      </x:c>
    </x:row>
    <x:row r="22">
      <x:c r="A22" s="26" t="str">
        <x:v>Common Modal</x:v>
      </x:c>
      <x:c r="B22" s="26" t="n">
        <x:f>COUNTIF(TestCases!B:B,A22)</x:f>
        <x:v>2</x:v>
      </x:c>
    </x:row>
    <x:row r="24" ht="21" customHeight="1">
      <x:c r="A24" s="22" t="str">
        <x:v>Suggested execution order</x:v>
      </x:c>
      <x:c r="B24" s="22" t="str">
        <x:v>1. Explore + Detail</x:v>
      </x:c>
      <x:c r="C24" s="22" t="str">
        <x:v>2. Resume + Entry</x:v>
      </x:c>
      <x:c r="D24" s="22" t="str">
        <x:v>3. Archive filters</x:v>
      </x:c>
      <x:c r="E24" s="22" t="str">
        <x:v>4. Completed review</x:v>
      </x:c>
      <x:c r="F24" s="22" t="str">
        <x:v>5. Negative API states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b07b11558f9249c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40000343322754" hidden="0" customWidth="1"/>
    <x:col min="2" max="2" width="16.43000030517578" hidden="0" customWidth="1"/>
    <x:col min="3" max="3" width="20.709999084472656" hidden="0" customWidth="1"/>
    <x:col min="4" max="4" width="9.289999961853027" hidden="0" customWidth="1"/>
    <x:col min="5" max="5" width="15" hidden="0" customWidth="1"/>
    <x:col min="6" max="6" width="36.43000030517578" hidden="0" customWidth="1"/>
    <x:col min="7" max="7" width="32.13999938964844" hidden="0" customWidth="1"/>
    <x:col min="8" max="8" width="39.290000915527344" hidden="0" customWidth="1"/>
    <x:col min="9" max="9" width="39.290000915527344" hidden="0" customWidth="1"/>
    <x:col min="10" max="10" width="36.43000030517578" hidden="0" customWidth="1"/>
    <x:col min="11" max="11" width="12.140000343322754" hidden="0" customWidth="1"/>
    <x:col min="12" max="12" width="23.56999969482422" hidden="0" customWidth="1"/>
    <x:col min="13" max="13" width="25" hidden="0" customWidth="1"/>
  </x:cols>
  <x:sheetData>
    <x:row r="1" ht="22.5" customHeight="1">
      <x:c r="A1" s="6" t="str">
        <x:v>Detailed Reflection Test Cases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 ht="22.5" customHeight="1">
      <x:c r="A2" s="12" t="str">
        <x:v>Functional, negative, navigation, and UI-state coverage for the current reflection flow.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 ht="21" customHeight="1">
      <x:c r="A4" s="22" t="str">
        <x:v>Test Case ID</x:v>
      </x:c>
      <x:c r="B4" s="22" t="str">
        <x:v>Flow Area</x:v>
      </x:c>
      <x:c r="C4" s="22" t="str">
        <x:v>Screen</x:v>
      </x:c>
      <x:c r="D4" s="22" t="str">
        <x:v>Priority</x:v>
      </x:c>
      <x:c r="E4" s="22" t="str">
        <x:v>Coverage Type</x:v>
      </x:c>
      <x:c r="F4" s="22" t="str">
        <x:v>Scenario</x:v>
      </x:c>
      <x:c r="G4" s="22" t="str">
        <x:v>Preconditions</x:v>
      </x:c>
      <x:c r="H4" s="22" t="str">
        <x:v>Steps</x:v>
      </x:c>
      <x:c r="I4" s="22" t="str">
        <x:v>Expected Result</x:v>
      </x:c>
      <x:c r="J4" s="22" t="str">
        <x:v>API / Route Validation</x:v>
      </x:c>
      <x:c r="K4" s="22" t="str">
        <x:v>Automated Today</x:v>
      </x:c>
      <x:c r="L4" s="22" t="str">
        <x:v>Current Test Ref</x:v>
      </x:c>
      <x:c r="M4" s="22" t="str">
        <x:v>Notes</x:v>
      </x:c>
    </x:row>
    <x:row r="5">
      <x:c r="A5" s="26" t="str">
        <x:v>RF-001</x:v>
      </x:c>
      <x:c r="B5" s="26" t="str">
        <x:v>Explore Library</x:v>
      </x:c>
      <x:c r="C5" s="26" t="str">
        <x:v>ReflectionsScreen</x:v>
      </x:c>
      <x:c r="D5" s="60" t="str">
        <x:v>P0</x:v>
      </x:c>
      <x:c r="E5" s="26" t="str">
        <x:v>Happy Path</x:v>
      </x:c>
      <x:c r="F5" s="26" t="str">
        <x:v>Landing screen loads templates and in-progress section in the right order.</x:v>
      </x:c>
      <x:c r="G5" s="26" t="str">
        <x:v>User is signed in. Reflection templates API and in-progress session API both return data.</x:v>
      </x:c>
      <x:c r="H5" s="26" t="str">
        <x:v>1. Open Self Care &gt; Reflection.
2. Wait for the screen to finish loading.
3. Observe the top of the page before interacting with pills or cards.</x:v>
      </x:c>
      <x:c r="I5" s="26" t="str">
        <x:v>Header is visible, in-progress section appears above the library section, and templates render below it without overlap or duplicate sections.</x:v>
      </x:c>
      <x:c r="J5" s="26" t="str">
        <x:v>GET /api/v1/reflect/templates/ succeeds. GET /api/v1/reflect/sessions/?status=in_progress succeeds.</x:v>
      </x:c>
      <x:c r="K5" s="66" t="str">
        <x:v>Yes</x:v>
      </x:c>
      <x:c r="L5" s="26" t="str">
        <x:v>ReflectionsScreen.test.tsx</x:v>
      </x:c>
      <x:c r="M5" s="26" t="str">
        <x:v>Core launch path for the reflection experience.</x:v>
      </x:c>
    </x:row>
    <x:row r="6">
      <x:c r="A6" s="26" t="str">
        <x:v>RF-002</x:v>
      </x:c>
      <x:c r="B6" s="26" t="str">
        <x:v>Explore Library</x:v>
      </x:c>
      <x:c r="C6" s="26" t="str">
        <x:v>ReflectionsScreen</x:v>
      </x:c>
      <x:c r="D6" s="74" t="str">
        <x:v>P1</x:v>
      </x:c>
      <x:c r="E6" s="26" t="str">
        <x:v>Resilience</x:v>
      </x:c>
      <x:c r="F6" s="26" t="str">
        <x:v>Template library still opens while categories API is not live.</x:v>
      </x:c>
      <x:c r="G6" s="26" t="str">
        <x:v>Categories API remains unavailable. Templates API returns data.</x:v>
      </x:c>
      <x:c r="H6" s="26" t="str">
        <x:v>1. Open Self Care &gt; Reflection.
2. Verify the screen loads without waiting on categories API.
3. Check the pill labels shown above the library.</x:v>
      </x:c>
      <x:c r="I6" s="26" t="str">
        <x:v>Templates load successfully and pills are derived from template categories. No categories API failure is exposed to the user.</x:v>
      </x:c>
      <x:c r="J6" s="26" t="str">
        <x:v>Current code path intentionally skips GET /api/v1/reflect/categories/.</x:v>
      </x:c>
      <x:c r="K6" s="80" t="str">
        <x:v>No</x:v>
      </x:c>
      <x:c r="L6" s="26" t="str">
        <x:v>Manual gap</x:v>
      </x:c>
      <x:c r="M6" s="26" t="str">
        <x:v>Important until the categories endpoint is enabled again.</x:v>
      </x:c>
    </x:row>
    <x:row r="7">
      <x:c r="A7" s="26" t="str">
        <x:v>RF-003</x:v>
      </x:c>
      <x:c r="B7" s="26" t="str">
        <x:v>Explore Library</x:v>
      </x:c>
      <x:c r="C7" s="26" t="str">
        <x:v>ReflectionsScreen</x:v>
      </x:c>
      <x:c r="D7" s="60" t="str">
        <x:v>P0</x:v>
      </x:c>
      <x:c r="E7" s="26" t="str">
        <x:v>Happy Path</x:v>
      </x:c>
      <x:c r="F7" s="26" t="str">
        <x:v>Matched in-progress session shows Continue Session CTA.</x:v>
      </x:c>
      <x:c r="G7" s="26" t="str">
        <x:v>Session list contains a session whose slug matches a template slug.</x:v>
      </x:c>
      <x:c r="H7" s="26" t="str">
        <x:v>1. Open Reflection screen with at least one matching in-progress session.
2. Locate the session card in the horizontal section.
3. Check the CTA label and card metadata.</x:v>
      </x:c>
      <x:c r="I7" s="26" t="str">
        <x:v>Matched session card uses template visuals and shows Continue Session.</x:v>
      </x:c>
      <x:c r="J7" s="26" t="str">
        <x:v>Session slug matches template slug before rendering the session card variant.</x:v>
      </x:c>
      <x:c r="K7" s="66" t="str">
        <x:v>Yes</x:v>
      </x:c>
      <x:c r="L7" s="26" t="str">
        <x:v>ReflectionsScreen.test.tsx</x:v>
      </x:c>
      <x:c r="M7" s="26" t="str">
        <x:v>Verifies slug matching logic.</x:v>
      </x:c>
    </x:row>
    <x:row r="8">
      <x:c r="A8" s="26" t="str">
        <x:v>RF-004</x:v>
      </x:c>
      <x:c r="B8" s="26" t="str">
        <x:v>Explore Library</x:v>
      </x:c>
      <x:c r="C8" s="26" t="str">
        <x:v>ReflectionsScreen</x:v>
      </x:c>
      <x:c r="D8" s="74" t="str">
        <x:v>P1</x:v>
      </x:c>
      <x:c r="E8" s="26" t="str">
        <x:v>Edge Case</x:v>
      </x:c>
      <x:c r="F8" s="26" t="str">
        <x:v>Unmatched in-progress session still appears with Open CTA.</x:v>
      </x:c>
      <x:c r="G8" s="26" t="str">
        <x:v>Session list contains an in-progress session whose slug does not exist in the template list.</x:v>
      </x:c>
      <x:c r="H8" s="26" t="str">
        <x:v>1. Open Reflection screen.
2. Find the unmatched session card in the in-progress section.
3. Review its CTA and title treatment.</x:v>
      </x:c>
      <x:c r="I8" s="26" t="str">
        <x:v>Card still renders using session data and the CTA is Open instead of Continue Session.</x:v>
      </x:c>
      <x:c r="J8" s="26" t="str">
        <x:v>No session id should be forwarded from the explore section for unmatched cards.</x:v>
      </x:c>
      <x:c r="K8" s="66" t="str">
        <x:v>Yes</x:v>
      </x:c>
      <x:c r="L8" s="26" t="str">
        <x:v>ReflectionsScreen.test.tsx</x:v>
      </x:c>
      <x:c r="M8" s="26" t="str">
        <x:v>Prevents hidden orphan sessions.</x:v>
      </x:c>
    </x:row>
    <x:row r="9">
      <x:c r="A9" s="26" t="str">
        <x:v>RF-005</x:v>
      </x:c>
      <x:c r="B9" s="26" t="str">
        <x:v>Explore Library</x:v>
      </x:c>
      <x:c r="C9" s="26" t="str">
        <x:v>ReflectionsScreen</x:v>
      </x:c>
      <x:c r="D9" s="88" t="str">
        <x:v>P2</x:v>
      </x:c>
      <x:c r="E9" s="26" t="str">
        <x:v>Edge Case</x:v>
      </x:c>
      <x:c r="F9" s="26" t="str">
        <x:v>In-progress section is hidden when there are no active sessions.</x:v>
      </x:c>
      <x:c r="G9" s="26" t="str">
        <x:v>Session list returns an empty array.</x:v>
      </x:c>
      <x:c r="H9" s="26" t="str">
        <x:v>1. Open Reflection screen with no active sessions.
2. Inspect the area above the library heading.</x:v>
      </x:c>
      <x:c r="I9" s="26" t="str">
        <x:v>No empty in-progress rail is shown. The library begins immediately after loading.</x:v>
      </x:c>
      <x:c r="J9" s="26" t="str">
        <x:v>GET /api/v1/reflect/sessions/?status=in_progress returns [].</x:v>
      </x:c>
      <x:c r="K9" s="80" t="str">
        <x:v>No</x:v>
      </x:c>
      <x:c r="L9" s="26" t="str">
        <x:v>Manual gap</x:v>
      </x:c>
      <x:c r="M9" s="26" t="str">
        <x:v>Visual cleanliness case.</x:v>
      </x:c>
    </x:row>
    <x:row r="10">
      <x:c r="A10" s="26" t="str">
        <x:v>RF-006</x:v>
      </x:c>
      <x:c r="B10" s="26" t="str">
        <x:v>Explore Library</x:v>
      </x:c>
      <x:c r="C10" s="26" t="str">
        <x:v>ReflectionsScreen</x:v>
      </x:c>
      <x:c r="D10" s="74" t="str">
        <x:v>P1</x:v>
      </x:c>
      <x:c r="E10" s="26" t="str">
        <x:v>Happy Path</x:v>
      </x:c>
      <x:c r="F10" s="26" t="str">
        <x:v>Category pills are generated from template categories with All Echoes as default.</x:v>
      </x:c>
      <x:c r="G10" s="26" t="str">
        <x:v>Template API returns templates from multiple categories.</x:v>
      </x:c>
      <x:c r="H10" s="26" t="str">
        <x:v>1. Open Reflection screen.
2. Inspect the pill row in the library section.
3. Confirm default selected pill.</x:v>
      </x:c>
      <x:c r="I10" s="26" t="str">
        <x:v>All Echoes appears first and each unique template category appears once in title case.</x:v>
      </x:c>
      <x:c r="J10" s="26" t="str">
        <x:v>Category labels come from template list, not from a dedicated categories API.</x:v>
      </x:c>
      <x:c r="K10" s="80" t="str">
        <x:v>No</x:v>
      </x:c>
      <x:c r="L10" s="26" t="str">
        <x:v>Manual gap</x:v>
      </x:c>
      <x:c r="M10" s="26" t="str">
        <x:v>Current logic deduplicates by normalized category.</x:v>
      </x:c>
    </x:row>
    <x:row r="11">
      <x:c r="A11" s="26" t="str">
        <x:v>RF-007</x:v>
      </x:c>
      <x:c r="B11" s="26" t="str">
        <x:v>Explore Library</x:v>
      </x:c>
      <x:c r="C11" s="26" t="str">
        <x:v>ReflectionsScreen</x:v>
      </x:c>
      <x:c r="D11" s="74" t="str">
        <x:v>P1</x:v>
      </x:c>
      <x:c r="E11" s="26" t="str">
        <x:v>Happy Path</x:v>
      </x:c>
      <x:c r="F11" s="26" t="str">
        <x:v>Selecting a category pill filters the template list.</x:v>
      </x:c>
      <x:c r="G11" s="26" t="str">
        <x:v>At least two categories are present in template list.</x:v>
      </x:c>
      <x:c r="H11" s="26" t="str">
        <x:v>1. Open Reflection screen.
2. Tap a non-default category pill.
3. Compare visible cards before and after the selection.</x:v>
      </x:c>
      <x:c r="I11" s="26" t="str">
        <x:v>Only templates from the selected category remain visible. Switching back to All Echoes restores the full list.</x:v>
      </x:c>
      <x:c r="J11" s="26" t="str">
        <x:v>Filter is applied client-side using normalized category/tag values.</x:v>
      </x:c>
      <x:c r="K11" s="80" t="str">
        <x:v>No</x:v>
      </x:c>
      <x:c r="L11" s="26" t="str">
        <x:v>Manual gap</x:v>
      </x:c>
      <x:c r="M11" s="26" t="str">
        <x:v>Important for discoverability.</x:v>
      </x:c>
    </x:row>
    <x:row r="12">
      <x:c r="A12" s="26" t="str">
        <x:v>RF-008</x:v>
      </x:c>
      <x:c r="B12" s="26" t="str">
        <x:v>Explore Library</x:v>
      </x:c>
      <x:c r="C12" s="26" t="str">
        <x:v>ReflectionsScreen</x:v>
      </x:c>
      <x:c r="D12" s="74" t="str">
        <x:v>P1</x:v>
      </x:c>
      <x:c r="E12" s="26" t="str">
        <x:v>Navigation</x:v>
      </x:c>
      <x:c r="F12" s="26" t="str">
        <x:v>Archive icon from library header opens the archive screen.</x:v>
      </x:c>
      <x:c r="G12" s="26" t="str">
        <x:v>User is on Reflection screen.</x:v>
      </x:c>
      <x:c r="H12" s="26" t="str">
        <x:v>1. Tap the archive icon in the header.</x:v>
      </x:c>
      <x:c r="I12" s="26" t="str">
        <x:v>Reflection Archive screen opens.</x:v>
      </x:c>
      <x:c r="J12" s="26" t="str">
        <x:v>Route should push /(auth)/self-care/reflections/archive.</x:v>
      </x:c>
      <x:c r="K12" s="80" t="str">
        <x:v>No</x:v>
      </x:c>
      <x:c r="L12" s="26" t="str">
        <x:v>Manual gap</x:v>
      </x:c>
      <x:c r="M12" s="26" t="str">
        <x:v>Simple but user-visible navigation path.</x:v>
      </x:c>
    </x:row>
    <x:row r="13">
      <x:c r="A13" s="26" t="str">
        <x:v>RF-009</x:v>
      </x:c>
      <x:c r="B13" s="26" t="str">
        <x:v>Explore Library</x:v>
      </x:c>
      <x:c r="C13" s="26" t="str">
        <x:v>ReflectionsScreen</x:v>
      </x:c>
      <x:c r="D13" s="74" t="str">
        <x:v>P1</x:v>
      </x:c>
      <x:c r="E13" s="26" t="str">
        <x:v>Negative</x:v>
      </x:c>
      <x:c r="F13" s="26" t="str">
        <x:v>Template API failure does not crash the screen.</x:v>
      </x:c>
      <x:c r="G13" s="26" t="str">
        <x:v>Templates API fails or returns malformed response.</x:v>
      </x:c>
      <x:c r="H13" s="26" t="str">
        <x:v>1. Open Reflection screen while template API fails.
2. Observe loading completion and fallback state.</x:v>
      </x:c>
      <x:c r="I13" s="26" t="str">
        <x:v>Screen stays stable and shows an empty/fallback library state instead of crashing.</x:v>
      </x:c>
      <x:c r="J13" s="26" t="str">
        <x:v>Catch branch logs the failure and resets reflections + in-progress sessions.</x:v>
      </x:c>
      <x:c r="K13" s="80" t="str">
        <x:v>No</x:v>
      </x:c>
      <x:c r="L13" s="26" t="str">
        <x:v>Manual gap</x:v>
      </x:c>
      <x:c r="M13" s="26" t="str">
        <x:v>Current UX fallback is minimal but stable.</x:v>
      </x:c>
    </x:row>
    <x:row r="14">
      <x:c r="A14" s="26" t="str">
        <x:v>RF-010</x:v>
      </x:c>
      <x:c r="B14" s="26" t="str">
        <x:v>Explore Library</x:v>
      </x:c>
      <x:c r="C14" s="26" t="str">
        <x:v>ReflectionsScreen</x:v>
      </x:c>
      <x:c r="D14" s="74" t="str">
        <x:v>P1</x:v>
      </x:c>
      <x:c r="E14" s="26" t="str">
        <x:v>Negative</x:v>
      </x:c>
      <x:c r="F14" s="26" t="str">
        <x:v>Session list API failure is handled gracefully.</x:v>
      </x:c>
      <x:c r="G14" s="26" t="str">
        <x:v>Templates API succeeds. In-progress session API fails.</x:v>
      </x:c>
      <x:c r="H14" s="26" t="str">
        <x:v>1. Open Reflection screen with session API down.
2. Observe whether template library remains usable.</x:v>
      </x:c>
      <x:c r="I14" s="26" t="str">
        <x:v>Ideal behavior: library still loads and in-progress section is omitted. If library disappears, log a defect.</x:v>
      </x:c>
      <x:c r="J14" s="26" t="str">
        <x:v>Current implementation uses Promise.all, so one failure can blank both sections.</x:v>
      </x:c>
      <x:c r="K14" s="80" t="str">
        <x:v>No</x:v>
      </x:c>
      <x:c r="L14" s="26" t="str">
        <x:v>Known risk</x:v>
      </x:c>
      <x:c r="M14" s="26" t="str">
        <x:v>Useful regression guard after resiliency improvements.</x:v>
      </x:c>
    </x:row>
    <x:row r="15">
      <x:c r="A15" s="26" t="str">
        <x:v>RF-011</x:v>
      </x:c>
      <x:c r="B15" s="26" t="str">
        <x:v>Detail</x:v>
      </x:c>
      <x:c r="C15" s="26" t="str">
        <x:v>ReflectionDetailScreen</x:v>
      </x:c>
      <x:c r="D15" s="60" t="str">
        <x:v>P0</x:v>
      </x:c>
      <x:c r="E15" s="26" t="str">
        <x:v>Happy Path</x:v>
      </x:c>
      <x:c r="F15" s="26" t="str">
        <x:v>Detail screen renders hero, title, description, benefits, and primary CTA.</x:v>
      </x:c>
      <x:c r="G15" s="26" t="str">
        <x:v>User opens a valid reflection template slug.</x:v>
      </x:c>
      <x:c r="H15" s="26" t="str">
        <x:v>1. Open a reflection template from the library.
2. Wait for details to load.
3. Inspect hero area and benefits section.</x:v>
      </x:c>
      <x:c r="I15" s="26" t="str">
        <x:v>Reflection Prelude layout loads with correct content and Start Reflection or Continue Session CTA.</x:v>
      </x:c>
      <x:c r="J15" s="26" t="str">
        <x:v>GET /api/v1/reflect/templates/{slug}/ succeeds.</x:v>
      </x:c>
      <x:c r="K15" s="66" t="str">
        <x:v>Yes</x:v>
      </x:c>
      <x:c r="L15" s="26" t="str">
        <x:v>ReflectionDetailScreen.test.tsx</x:v>
      </x:c>
      <x:c r="M15" s="26" t="str">
        <x:v>Primary detail-screen rendering check.</x:v>
      </x:c>
    </x:row>
    <x:row r="16">
      <x:c r="A16" s="26" t="str">
        <x:v>RF-012</x:v>
      </x:c>
      <x:c r="B16" s="26" t="str">
        <x:v>Detail</x:v>
      </x:c>
      <x:c r="C16" s="26" t="str">
        <x:v>ReflectionDetailScreen</x:v>
      </x:c>
      <x:c r="D16" s="74" t="str">
        <x:v>P1</x:v>
      </x:c>
      <x:c r="E16" s="26" t="str">
        <x:v>Negative</x:v>
      </x:c>
      <x:c r="F16" s="26" t="str">
        <x:v>Invalid or missing slug shows the empty state instead of crashing.</x:v>
      </x:c>
      <x:c r="G16" s="26" t="str">
        <x:v>User opens detail screen with invalid slug or API returns no data.</x:v>
      </x:c>
      <x:c r="H16" s="26" t="str">
        <x:v>1. Open the detail route with an invalid slug.
2. Wait for load to finish.</x:v>
      </x:c>
      <x:c r="I16" s="26" t="str">
        <x:v>Screen shows Unable to load this reflection and offers a safe back path.</x:v>
      </x:c>
      <x:c r="J16" s="26" t="str">
        <x:v>GET /api/v1/reflect/templates/{slug}/ returns empty or fails.</x:v>
      </x:c>
      <x:c r="K16" s="80" t="str">
        <x:v>No</x:v>
      </x:c>
      <x:c r="L16" s="26" t="str">
        <x:v>Manual gap</x:v>
      </x:c>
      <x:c r="M16" s="26" t="str">
        <x:v>The screen has an empty state but no direct test yet.</x:v>
      </x:c>
    </x:row>
    <x:row r="17">
      <x:c r="A17" s="26" t="str">
        <x:v>RF-013</x:v>
      </x:c>
      <x:c r="B17" s="26" t="str">
        <x:v>Detail</x:v>
      </x:c>
      <x:c r="C17" s="26" t="str">
        <x:v>ReflectionDetailScreen</x:v>
      </x:c>
      <x:c r="D17" s="60" t="str">
        <x:v>P0</x:v>
      </x:c>
      <x:c r="E17" s="26" t="str">
        <x:v>Happy Path</x:v>
      </x:c>
      <x:c r="F17" s="26" t="str">
        <x:v>Start Reflection creates a new session and opens the entry flow.</x:v>
      </x:c>
      <x:c r="G17" s="26" t="str">
        <x:v>No existing same-template in-progress session is found.</x:v>
      </x:c>
      <x:c r="H17" s="26" t="str">
        <x:v>1. Open a template detail page.
2. Tap Start Reflection.</x:v>
      </x:c>
      <x:c r="I17" s="26" t="str">
        <x:v>A new session is created and entry screen opens with the new session id and template payload.</x:v>
      </x:c>
      <x:c r="J17" s="26" t="str">
        <x:v>POST /api/v1/reflect/sessions/ succeeds and route pushes /(auth)/self-care/reflections/[journalId].</x:v>
      </x:c>
      <x:c r="K17" s="66" t="str">
        <x:v>Yes</x:v>
      </x:c>
      <x:c r="L17" s="26" t="str">
        <x:v>ReflectionDetailScreen.test.tsx</x:v>
      </x:c>
      <x:c r="M17" s="26" t="str">
        <x:v>Main session creation path.</x:v>
      </x:c>
    </x:row>
    <x:row r="18">
      <x:c r="A18" s="26" t="str">
        <x:v>RF-014</x:v>
      </x:c>
      <x:c r="B18" s="26" t="str">
        <x:v>Detail</x:v>
      </x:c>
      <x:c r="C18" s="26" t="str">
        <x:v>ReflectionDetailScreen</x:v>
      </x:c>
      <x:c r="D18" s="60" t="str">
        <x:v>P0</x:v>
      </x:c>
      <x:c r="E18" s="26" t="str">
        <x:v>Navigation</x:v>
      </x:c>
      <x:c r="F18" s="26" t="str">
        <x:v>Opening detail with session id changes CTA to Continue Session and preserves the existing session.</x:v>
      </x:c>
      <x:c r="G18" s="26" t="str">
        <x:v>User opened the detail screen from an active session card or archive card with journalSessionId.</x:v>
      </x:c>
      <x:c r="H18" s="26" t="str">
        <x:v>1. Open detail route with a valid slug and session id.
2. Check the CTA label.
3. Tap Continue Session.</x:v>
      </x:c>
      <x:c r="I18" s="26" t="str">
        <x:v>Start API is not called again and the entry screen opens with the existing session id.</x:v>
      </x:c>
      <x:c r="J18" s="26" t="str">
        <x:v>Route pushes entry with the supplied journalSessionId.</x:v>
      </x:c>
      <x:c r="K18" s="66" t="str">
        <x:v>Yes</x:v>
      </x:c>
      <x:c r="L18" s="26" t="str">
        <x:v>ReflectionDetailScreen.test.tsx</x:v>
      </x:c>
      <x:c r="M18" s="26" t="str">
        <x:v>Used by resume paths.</x:v>
      </x:c>
    </x:row>
    <x:row r="19">
      <x:c r="A19" s="26" t="str">
        <x:v>RF-015</x:v>
      </x:c>
      <x:c r="B19" s="26" t="str">
        <x:v>Detail</x:v>
      </x:c>
      <x:c r="C19" s="26" t="str">
        <x:v>ReflectionDetailScreen</x:v>
      </x:c>
      <x:c r="D19" s="60" t="str">
        <x:v>P0</x:v>
      </x:c>
      <x:c r="E19" s="26" t="str">
        <x:v>Conflict Flow</x:v>
      </x:c>
      <x:c r="F19" s="26" t="str">
        <x:v>Explore flow detects an existing same-template session and opens the choice modal.</x:v>
      </x:c>
      <x:c r="G19" s="26" t="str">
        <x:v>User opens detail from explore. Matching in-progress session exists for the same slug.</x:v>
      </x:c>
      <x:c r="H19" s="26" t="str">
        <x:v>1. Open a template from the explore library while another session is already active for the same slug.
2. Tap Start Reflection.</x:v>
      </x:c>
      <x:c r="I19" s="26" t="str">
        <x:v>A modal appears offering Continue Previous Session and Start New Session.</x:v>
      </x:c>
      <x:c r="J19" s="26" t="str">
        <x:v>GET /api/v1/reflect/sessions/?status=in_progress is checked before creating a new session.</x:v>
      </x:c>
      <x:c r="K19" s="66" t="str">
        <x:v>Yes</x:v>
      </x:c>
      <x:c r="L19" s="26" t="str">
        <x:v>ReflectionDetailScreen.test.tsx</x:v>
      </x:c>
      <x:c r="M19" s="26" t="str">
        <x:v>Prevents duplicate active sessions by accident.</x:v>
      </x:c>
    </x:row>
    <x:row r="20">
      <x:c r="A20" s="26" t="str">
        <x:v>RF-016</x:v>
      </x:c>
      <x:c r="B20" s="26" t="str">
        <x:v>Common Modal</x:v>
      </x:c>
      <x:c r="C20" s="26" t="str">
        <x:v>ActionModal</x:v>
      </x:c>
      <x:c r="D20" s="74" t="str">
        <x:v>P1</x:v>
      </x:c>
      <x:c r="E20" s="26" t="str">
        <x:v>UI/UX</x:v>
      </x:c>
      <x:c r="F20" s="26" t="str">
        <x:v>Session conflict modal layout stays readable with close icon separated from copy.</x:v>
      </x:c>
      <x:c r="G20" s="26" t="str">
        <x:v>Conflict modal is visible.</x:v>
      </x:c>
      <x:c r="H20" s="26" t="str">
        <x:v>1. Open the session conflict modal.
2. Inspect title, body, close icon, and button spacing on a narrow device.</x:v>
      </x:c>
      <x:c r="I20" s="26" t="str">
        <x:v>Close icon does not overlap title/body. Text wraps cleanly and buttons remain fully visible.</x:v>
      </x:c>
      <x:c r="J20" s="26" t="str">
        <x:v>Shared ActionModal layout should preserve spacing at small widths.</x:v>
      </x:c>
      <x:c r="K20" s="94" t="str">
        <x:v>Partial</x:v>
      </x:c>
      <x:c r="L20" s="26" t="str">
        <x:v>ActionModal.test.tsx + manual visual pass</x:v>
      </x:c>
      <x:c r="M20" s="26" t="str">
        <x:v>Originally reported UI regression.</x:v>
      </x:c>
    </x:row>
    <x:row r="21">
      <x:c r="A21" s="26" t="str">
        <x:v>RF-017</x:v>
      </x:c>
      <x:c r="B21" s="26" t="str">
        <x:v>Detail</x:v>
      </x:c>
      <x:c r="C21" s="26" t="str">
        <x:v>ReflectionDetailScreen</x:v>
      </x:c>
      <x:c r="D21" s="60" t="str">
        <x:v>P0</x:v>
      </x:c>
      <x:c r="E21" s="26" t="str">
        <x:v>Conflict Flow</x:v>
      </x:c>
      <x:c r="F21" s="26" t="str">
        <x:v>Continue Previous Session from the modal opens the existing session.</x:v>
      </x:c>
      <x:c r="G21" s="26" t="str">
        <x:v>Conflict modal is visible with a valid existing session.</x:v>
      </x:c>
      <x:c r="H21" s="26" t="str">
        <x:v>1. Open the session conflict modal.
2. Tap Continue Previous Session.</x:v>
      </x:c>
      <x:c r="I21" s="26" t="str">
        <x:v>Existing session opens in the entry flow with saved progress intact.</x:v>
      </x:c>
      <x:c r="J21" s="26" t="str">
        <x:v>Existing session id is passed to entry route. Start session API is not called.</x:v>
      </x:c>
      <x:c r="K21" s="66" t="str">
        <x:v>Yes</x:v>
      </x:c>
      <x:c r="L21" s="26" t="str">
        <x:v>ReflectionDetailScreen.test.tsx</x:v>
      </x:c>
      <x:c r="M21" s="26" t="str">
        <x:v>Critical resume path.</x:v>
      </x:c>
    </x:row>
    <x:row r="22">
      <x:c r="A22" s="26" t="str">
        <x:v>RF-018</x:v>
      </x:c>
      <x:c r="B22" s="26" t="str">
        <x:v>Detail</x:v>
      </x:c>
      <x:c r="C22" s="26" t="str">
        <x:v>ReflectionDetailScreen</x:v>
      </x:c>
      <x:c r="D22" s="60" t="str">
        <x:v>P0</x:v>
      </x:c>
      <x:c r="E22" s="26" t="str">
        <x:v>Conflict Flow</x:v>
      </x:c>
      <x:c r="F22" s="26" t="str">
        <x:v>Start New Session from the modal abandons the old session and starts a new one.</x:v>
      </x:c>
      <x:c r="G22" s="26" t="str">
        <x:v>Conflict modal is visible and old session id exists.</x:v>
      </x:c>
      <x:c r="H22" s="26" t="str">
        <x:v>1. Open the session conflict modal.
2. Tap Start New Session.</x:v>
      </x:c>
      <x:c r="I22" s="26" t="str">
        <x:v>Old session is abandoned first, then a new session starts, and the entry flow opens with the new id.</x:v>
      </x:c>
      <x:c r="J22" s="26" t="str">
        <x:v>POST /api/v1/reflect/sessions/{id}/abandon/ then POST /api/v1/reflect/sessions/.</x:v>
      </x:c>
      <x:c r="K22" s="66" t="str">
        <x:v>Yes</x:v>
      </x:c>
      <x:c r="L22" s="26" t="str">
        <x:v>ReflectionDetailScreen.test.tsx</x:v>
      </x:c>
      <x:c r="M22" s="26" t="str">
        <x:v>Ensures session replacement sequence is correct.</x:v>
      </x:c>
    </x:row>
    <x:row r="23">
      <x:c r="A23" s="26" t="str">
        <x:v>RF-019</x:v>
      </x:c>
      <x:c r="B23" s="26" t="str">
        <x:v>Common Modal</x:v>
      </x:c>
      <x:c r="C23" s="26" t="str">
        <x:v>ActionModal</x:v>
      </x:c>
      <x:c r="D23" s="74" t="str">
        <x:v>P1</x:v>
      </x:c>
      <x:c r="E23" s="26" t="str">
        <x:v>Async State</x:v>
      </x:c>
      <x:c r="F23" s="26" t="str">
        <x:v>Start New Session shows loading and blocks dismissal while the API chain is running.</x:v>
      </x:c>
      <x:c r="G23" s="26" t="str">
        <x:v>Conflict modal is visible and action is in flight.</x:v>
      </x:c>
      <x:c r="H23" s="26" t="str">
        <x:v>1. Tap Start New Session while network delay is simulated.
2. Try tapping the close icon and backdrop during the request.</x:v>
      </x:c>
      <x:c r="I23" s="26" t="str">
        <x:v>Modal stays open, action shows loading, and close/backdrop taps are ignored until the request resolves.</x:v>
      </x:c>
      <x:c r="J23" s="26" t="str">
        <x:v>ActionModal isBusy + secondaryAction.loading + closeOnPress=false.</x:v>
      </x:c>
      <x:c r="K23" s="94" t="str">
        <x:v>Partial</x:v>
      </x:c>
      <x:c r="L23" s="26" t="str">
        <x:v>ActionModal.test.tsx</x:v>
      </x:c>
      <x:c r="M23" s="26" t="str">
        <x:v>Needs manual visual check for spinner state.</x:v>
      </x:c>
    </x:row>
    <x:row r="24">
      <x:c r="A24" s="26" t="str">
        <x:v>RF-020</x:v>
      </x:c>
      <x:c r="B24" s="26" t="str">
        <x:v>Detail</x:v>
      </x:c>
      <x:c r="C24" s="26" t="str">
        <x:v>ReflectionDetailScreen</x:v>
      </x:c>
      <x:c r="D24" s="74" t="str">
        <x:v>P1</x:v>
      </x:c>
      <x:c r="E24" s="26" t="str">
        <x:v>Negative</x:v>
      </x:c>
      <x:c r="F24" s="26" t="str">
        <x:v>Abandon-session API failure leaves the user in control and shows an error.</x:v>
      </x:c>
      <x:c r="G24" s="26" t="str">
        <x:v>Conflict modal is visible. Abandon API fails.</x:v>
      </x:c>
      <x:c r="H24" s="26" t="str">
        <x:v>1. Tap Start New Session.
2. Force the abandon API to return an error.</x:v>
      </x:c>
      <x:c r="I24" s="26" t="str">
        <x:v>Error toast is shown, modal remains available, and no new session is started.</x:v>
      </x:c>
      <x:c r="J24" s="26" t="str">
        <x:v>POST /api/v1/reflect/sessions/{id}/abandon/ returns success=false or error.</x:v>
      </x:c>
      <x:c r="K24" s="80" t="str">
        <x:v>No</x:v>
      </x:c>
      <x:c r="L24" s="26" t="str">
        <x:v>Manual gap</x:v>
      </x:c>
      <x:c r="M24" s="26" t="str">
        <x:v>Important recovery path.</x:v>
      </x:c>
    </x:row>
    <x:row r="25">
      <x:c r="A25" s="26" t="str">
        <x:v>RF-021</x:v>
      </x:c>
      <x:c r="B25" s="26" t="str">
        <x:v>Detail</x:v>
      </x:c>
      <x:c r="C25" s="26" t="str">
        <x:v>ReflectionDetailScreen</x:v>
      </x:c>
      <x:c r="D25" s="74" t="str">
        <x:v>P1</x:v>
      </x:c>
      <x:c r="E25" s="26" t="str">
        <x:v>Negative</x:v>
      </x:c>
      <x:c r="F25" s="26" t="str">
        <x:v>Start-session API failure after a valid detail load shows an error toast.</x:v>
      </x:c>
      <x:c r="G25" s="26" t="str">
        <x:v>Template detail loaded successfully. Session creation fails.</x:v>
      </x:c>
      <x:c r="H25" s="26" t="str">
        <x:v>1. Tap Start Reflection with no existing session conflict.
2. Force session creation API to fail.</x:v>
      </x:c>
      <x:c r="I25" s="26" t="str">
        <x:v>Error toast is shown and user remains on the detail page.</x:v>
      </x:c>
      <x:c r="J25" s="26" t="str">
        <x:v>POST /api/v1/reflect/sessions/ returns success=false, status=error, or throws.</x:v>
      </x:c>
      <x:c r="K25" s="80" t="str">
        <x:v>No</x:v>
      </x:c>
      <x:c r="L25" s="26" t="str">
        <x:v>Manual gap</x:v>
      </x:c>
      <x:c r="M25" s="26" t="str">
        <x:v>Should not navigate into a broken entry flow.</x:v>
      </x:c>
    </x:row>
    <x:row r="26">
      <x:c r="A26" s="26" t="str">
        <x:v>RF-022</x:v>
      </x:c>
      <x:c r="B26" s="26" t="str">
        <x:v>Detail</x:v>
      </x:c>
      <x:c r="C26" s="26" t="str">
        <x:v>ReflectionDetailScreen</x:v>
      </x:c>
      <x:c r="D26" s="88" t="str">
        <x:v>P2</x:v>
      </x:c>
      <x:c r="E26" s="26" t="str">
        <x:v>Resilience</x:v>
      </x:c>
      <x:c r="F26" s="26" t="str">
        <x:v>Existing-session lookup failure does not block normal start behavior.</x:v>
      </x:c>
      <x:c r="G26" s="26" t="str">
        <x:v>Detail API succeeds. Existing-session lookup fails.</x:v>
      </x:c>
      <x:c r="H26" s="26" t="str">
        <x:v>1. Open a template detail page while the in-progress lookup fails.
2. Tap Start Reflection.</x:v>
      </x:c>
      <x:c r="I26" s="26" t="str">
        <x:v>User can still start a new session if detail is available.</x:v>
      </x:c>
      <x:c r="J26" s="26" t="str">
        <x:v>GET /api/v1/reflect/sessions/?status=in_progress fails but start-session flow remains available.</x:v>
      </x:c>
      <x:c r="K26" s="80" t="str">
        <x:v>No</x:v>
      </x:c>
      <x:c r="L26" s="26" t="str">
        <x:v>Manual gap</x:v>
      </x:c>
      <x:c r="M26" s="26" t="str">
        <x:v>Current code falls back to null existingSession.</x:v>
      </x:c>
    </x:row>
    <x:row r="27">
      <x:c r="A27" s="26" t="str">
        <x:v>RF-023</x:v>
      </x:c>
      <x:c r="B27" s="26" t="str">
        <x:v>Entry</x:v>
      </x:c>
      <x:c r="C27" s="26" t="str">
        <x:v>ReflectionEntryScreen</x:v>
      </x:c>
      <x:c r="D27" s="60" t="str">
        <x:v>P0</x:v>
      </x:c>
      <x:c r="E27" s="26" t="str">
        <x:v>Resume Flow</x:v>
      </x:c>
      <x:c r="F27" s="26" t="str">
        <x:v>Resuming a session hydrates saved responses and opens from question 1 for review.</x:v>
      </x:c>
      <x:c r="G27" s="26" t="str">
        <x:v>Entry route includes journalSessionId and template questions.</x:v>
      </x:c>
      <x:c r="H27" s="26" t="str">
        <x:v>1. Open an existing in-progress session.
2. Wait for the hydration loader to finish.
3. Inspect the first question and answer field.</x:v>
      </x:c>
      <x:c r="I27" s="26" t="str">
        <x:v>User lands on the first question with the saved answer prefilled.</x:v>
      </x:c>
      <x:c r="J27" s="26" t="str">
        <x:v>GET /api/v1/reflect/sessions/{id}/ succeeds before interaction begins.</x:v>
      </x:c>
      <x:c r="K27" s="66" t="str">
        <x:v>Yes</x:v>
      </x:c>
      <x:c r="L27" s="26" t="str">
        <x:v>ReflectionEntryScreen.test.tsx</x:v>
      </x:c>
      <x:c r="M27" s="26" t="str">
        <x:v>Current design intentionally restarts at question 1 during resume.</x:v>
      </x:c>
    </x:row>
    <x:row r="28">
      <x:c r="A28" s="26" t="str">
        <x:v>RF-024</x:v>
      </x:c>
      <x:c r="B28" s="26" t="str">
        <x:v>Entry</x:v>
      </x:c>
      <x:c r="C28" s="26" t="str">
        <x:v>ReflectionEntryScreen</x:v>
      </x:c>
      <x:c r="D28" s="60" t="str">
        <x:v>P0</x:v>
      </x:c>
      <x:c r="E28" s="26" t="str">
        <x:v>Resume Flow</x:v>
      </x:c>
      <x:c r="F28" s="26" t="str">
        <x:v>Earlier answered steps are read-only and still allow forward navigation.</x:v>
      </x:c>
      <x:c r="G28" s="26" t="str">
        <x:v>Resumed session has answers for earlier steps and a later current step.</x:v>
      </x:c>
      <x:c r="H28" s="26" t="str">
        <x:v>1. Resume a session that already has saved answers.
2. Observe the first saved question.
3. Try editing the answer field and then tap Next Question.</x:v>
      </x:c>
      <x:c r="I28" s="26" t="str">
        <x:v>Saved answer field is non-editable and Next Question remains enabled.</x:v>
      </x:c>
      <x:c r="J28" s="26" t="str">
        <x:v>Review state is derived from current_step/current_question versus saved responses.</x:v>
      </x:c>
      <x:c r="K28" s="66" t="str">
        <x:v>Yes</x:v>
      </x:c>
      <x:c r="L28" s="26" t="str">
        <x:v>ReflectionEntryScreen.test.tsx</x:v>
      </x:c>
      <x:c r="M28" s="26" t="str">
        <x:v>Prevents rewriting older answers by mistake.</x:v>
      </x:c>
    </x:row>
    <x:row r="29">
      <x:c r="A29" s="26" t="str">
        <x:v>RF-025</x:v>
      </x:c>
      <x:c r="B29" s="26" t="str">
        <x:v>Entry</x:v>
      </x:c>
      <x:c r="C29" s="26" t="str">
        <x:v>ReflectionEntryScreen</x:v>
      </x:c>
      <x:c r="D29" s="60" t="str">
        <x:v>P0</x:v>
      </x:c>
      <x:c r="E29" s="26" t="str">
        <x:v>Resume Flow</x:v>
      </x:c>
      <x:c r="F29" s="26" t="str">
        <x:v>Current unanswered step becomes editable after stepping through saved answers.</x:v>
      </x:c>
      <x:c r="G29" s="26" t="str">
        <x:v>Resumed session has unanswered current step.</x:v>
      </x:c>
      <x:c r="H29" s="26" t="str">
        <x:v>1. Advance through saved questions in a resumed session.
2. Stop at the current unanswered step.</x:v>
      </x:c>
      <x:c r="I29" s="26" t="str">
        <x:v>Answer field becomes editable only on the current step.</x:v>
      </x:c>
      <x:c r="J29" s="26" t="str">
        <x:v>Entry form compares step number to activeStepNumber.</x:v>
      </x:c>
      <x:c r="K29" s="66" t="str">
        <x:v>Yes</x:v>
      </x:c>
      <x:c r="L29" s="26" t="str">
        <x:v>ReflectionEntryScreen.test.tsx</x:v>
      </x:c>
      <x:c r="M29" s="26" t="str">
        <x:v>Core mixed read-only/editable behavior.</x:v>
      </x:c>
    </x:row>
    <x:row r="30">
      <x:c r="A30" s="26" t="str">
        <x:v>RF-026</x:v>
      </x:c>
      <x:c r="B30" s="26" t="str">
        <x:v>Entry</x:v>
      </x:c>
      <x:c r="C30" s="26" t="str">
        <x:v>ReflectionEntryScreen</x:v>
      </x:c>
      <x:c r="D30" s="74" t="str">
        <x:v>P1</x:v>
      </x:c>
      <x:c r="E30" s="26" t="str">
        <x:v>Progress State</x:v>
      </x:c>
      <x:c r="F30" s="26" t="str">
        <x:v>Progress number and percentage reflect the current unanswered question, not completed count.</x:v>
      </x:c>
      <x:c r="G30" s="26" t="str">
        <x:v>Resumed session has current_step pointing to the next question to answer.</x:v>
      </x:c>
      <x:c r="H30" s="26" t="str">
        <x:v>1. Resume a session where current_step points to question 3 of 5.
2. Check the top progress block before answering.</x:v>
      </x:c>
      <x:c r="I30" s="26" t="str">
        <x:v>Progress displays Question 03 and 60 percent, not a completed-state value.</x:v>
      </x:c>
      <x:c r="J30" s="26" t="str">
        <x:v>resolvedStepNumber/resolvedTotalSteps are based on current question semantics.</x:v>
      </x:c>
      <x:c r="K30" s="94" t="str">
        <x:v>Partial</x:v>
      </x:c>
      <x:c r="L30" s="26" t="str">
        <x:v>ReflectionEntryScreen.test.tsx covers question label only</x:v>
      </x:c>
      <x:c r="M30" s="26" t="str">
        <x:v>Regression-prone because API current_step means next step to answer.</x:v>
      </x:c>
    </x:row>
    <x:row r="31">
      <x:c r="A31" s="26" t="str">
        <x:v>RF-027</x:v>
      </x:c>
      <x:c r="B31" s="26" t="str">
        <x:v>Entry</x:v>
      </x:c>
      <x:c r="C31" s="26" t="str">
        <x:v>ReflectionEntryScreen</x:v>
      </x:c>
      <x:c r="D31" s="60" t="str">
        <x:v>P0</x:v>
      </x:c>
      <x:c r="E31" s="26" t="str">
        <x:v>Validation</x:v>
      </x:c>
      <x:c r="F31" s="26" t="str">
        <x:v>Editable step keeps Next Question or Complete Reflection disabled until text is entered.</x:v>
      </x:c>
      <x:c r="G31" s="26" t="str">
        <x:v>User is on an editable step with an empty answer.</x:v>
      </x:c>
      <x:c r="H31" s="26" t="str">
        <x:v>1. Open a fresh session or current unanswered step.
2. Do not type anything.
3. Inspect the CTA state.</x:v>
      </x:c>
      <x:c r="I31" s="26" t="str">
        <x:v>Primary CTA remains disabled until a non-empty answer is entered.</x:v>
      </x:c>
      <x:c r="J31" s="26" t="str">
        <x:v>canAdvance is false when editable answer is blank.</x:v>
      </x:c>
      <x:c r="K31" s="80" t="str">
        <x:v>No</x:v>
      </x:c>
      <x:c r="L31" s="26" t="str">
        <x:v>Manual gap</x:v>
      </x:c>
      <x:c r="M31" s="26" t="str">
        <x:v>Input validation case.</x:v>
      </x:c>
    </x:row>
    <x:row r="32">
      <x:c r="A32" s="26" t="str">
        <x:v>RF-028</x:v>
      </x:c>
      <x:c r="B32" s="26" t="str">
        <x:v>Entry</x:v>
      </x:c>
      <x:c r="C32" s="26" t="str">
        <x:v>ReflectionEntryScreen</x:v>
      </x:c>
      <x:c r="D32" s="60" t="str">
        <x:v>P0</x:v>
      </x:c>
      <x:c r="E32" s="26" t="str">
        <x:v>Happy Path</x:v>
      </x:c>
      <x:c r="F32" s="26" t="str">
        <x:v>Saving an intermediate step persists the answer and advances to the next question.</x:v>
      </x:c>
      <x:c r="G32" s="26" t="str">
        <x:v>User is on a non-final editable step with valid answer text.</x:v>
      </x:c>
      <x:c r="H32" s="26" t="str">
        <x:v>1. Type an answer into the current editable question.
2. Tap Next Question.</x:v>
      </x:c>
      <x:c r="I32" s="26" t="str">
        <x:v>Step is saved and user advances to the next question without leaving the flow.</x:v>
      </x:c>
      <x:c r="J32" s="26" t="str">
        <x:v>POST /api/v1/reflect/sessions/{id}/steps/{step}/ succeeds.</x:v>
      </x:c>
      <x:c r="K32" s="80" t="str">
        <x:v>No</x:v>
      </x:c>
      <x:c r="L32" s="26" t="str">
        <x:v>Manual gap</x:v>
      </x:c>
      <x:c r="M32" s="26" t="str">
        <x:v>Current automated tests focus more on resume/final-step behavior.</x:v>
      </x:c>
    </x:row>
    <x:row r="33">
      <x:c r="A33" s="26" t="str">
        <x:v>RF-029</x:v>
      </x:c>
      <x:c r="B33" s="26" t="str">
        <x:v>Entry</x:v>
      </x:c>
      <x:c r="C33" s="26" t="str">
        <x:v>ReflectionEntryScreen</x:v>
      </x:c>
      <x:c r="D33" s="60" t="str">
        <x:v>P0</x:v>
      </x:c>
      <x:c r="E33" s="26" t="str">
        <x:v>Happy Path</x:v>
      </x:c>
      <x:c r="F33" s="26" t="str">
        <x:v>Completing the final step saves the last answer, completes the session, and opens review.</x:v>
      </x:c>
      <x:c r="G33" s="26" t="str">
        <x:v>User is on the final editable step.</x:v>
      </x:c>
      <x:c r="H33" s="26" t="str">
        <x:v>1. Enter the final answer.
2. Tap Complete Reflection.</x:v>
      </x:c>
      <x:c r="I33" s="26" t="str">
        <x:v>Final step is saved, session completion succeeds, and review screen opens with session context.</x:v>
      </x:c>
      <x:c r="J33" s="26" t="str">
        <x:v>POST /steps/{final}/ then POST /complete/ then route replace to submission screen.</x:v>
      </x:c>
      <x:c r="K33" s="94" t="str">
        <x:v>Partial</x:v>
      </x:c>
      <x:c r="L33" s="26" t="str">
        <x:v>ReflectionEntryScreen.test.tsx covers final save path</x:v>
      </x:c>
      <x:c r="M33" s="26" t="str">
        <x:v>Add explicit completion-route assertion if stronger automation is needed.</x:v>
      </x:c>
    </x:row>
    <x:row r="34">
      <x:c r="A34" s="26" t="str">
        <x:v>RF-030</x:v>
      </x:c>
      <x:c r="B34" s="26" t="str">
        <x:v>Entry</x:v>
      </x:c>
      <x:c r="C34" s="26" t="str">
        <x:v>ReflectionEntryScreen</x:v>
      </x:c>
      <x:c r="D34" s="74" t="str">
        <x:v>P1</x:v>
      </x:c>
      <x:c r="E34" s="26" t="str">
        <x:v>Negative</x:v>
      </x:c>
      <x:c r="F34" s="26" t="str">
        <x:v>Missing template id or session id blocks save and shows a toast.</x:v>
      </x:c>
      <x:c r="G34" s="26" t="str">
        <x:v>Entry route is missing journalId or journalSessionId.</x:v>
      </x:c>
      <x:c r="H34" s="26" t="str">
        <x:v>1. Open the entry route with missing required params.
2. Try to save a question.</x:v>
      </x:c>
      <x:c r="I34" s="26" t="str">
        <x:v>Screen shows Reflection not ready or Session unavailable and does not call save/complete APIs.</x:v>
      </x:c>
      <x:c r="J34" s="26" t="str">
        <x:v>Guard clauses trigger before API calls.</x:v>
      </x:c>
      <x:c r="K34" s="80" t="str">
        <x:v>No</x:v>
      </x:c>
      <x:c r="L34" s="26" t="str">
        <x:v>Manual gap</x:v>
      </x:c>
      <x:c r="M34" s="26" t="str">
        <x:v>Good defensive test for route issues.</x:v>
      </x:c>
    </x:row>
    <x:row r="35">
      <x:c r="A35" s="26" t="str">
        <x:v>RF-031</x:v>
      </x:c>
      <x:c r="B35" s="26" t="str">
        <x:v>Entry</x:v>
      </x:c>
      <x:c r="C35" s="26" t="str">
        <x:v>ReflectionEntryScreen</x:v>
      </x:c>
      <x:c r="D35" s="74" t="str">
        <x:v>P1</x:v>
      </x:c>
      <x:c r="E35" s="26" t="str">
        <x:v>Negative</x:v>
      </x:c>
      <x:c r="F35" s="26" t="str">
        <x:v>Missing current step shows a safe error instead of making a bad API call.</x:v>
      </x:c>
      <x:c r="G35" s="26" t="str">
        <x:v>Question list is empty or currentStep cannot be resolved.</x:v>
      </x:c>
      <x:c r="H35" s="26" t="str">
        <x:v>1. Open entry with invalid or empty question payload.
2. Try to advance.</x:v>
      </x:c>
      <x:c r="I35" s="26" t="str">
        <x:v>Step unavailable toast appears and no save API is called.</x:v>
      </x:c>
      <x:c r="J35" s="26" t="str">
        <x:v>currentStep guard stops execution before POST /steps/{step}/.</x:v>
      </x:c>
      <x:c r="K35" s="80" t="str">
        <x:v>No</x:v>
      </x:c>
      <x:c r="L35" s="26" t="str">
        <x:v>Manual gap</x:v>
      </x:c>
      <x:c r="M35" s="26" t="str">
        <x:v>Protects against malformed route payloads.</x:v>
      </x:c>
    </x:row>
    <x:row r="36">
      <x:c r="A36" s="26" t="str">
        <x:v>RF-032</x:v>
      </x:c>
      <x:c r="B36" s="26" t="str">
        <x:v>Entry</x:v>
      </x:c>
      <x:c r="C36" s="26" t="str">
        <x:v>ReflectionEntryScreen</x:v>
      </x:c>
      <x:c r="D36" s="74" t="str">
        <x:v>P1</x:v>
      </x:c>
      <x:c r="E36" s="26" t="str">
        <x:v>Negative</x:v>
      </x:c>
      <x:c r="F36" s="26" t="str">
        <x:v>Hydration failure while resuming a session shows a toast.</x:v>
      </x:c>
      <x:c r="G36" s="26" t="str">
        <x:v>journalSessionId exists but session detail API fails.</x:v>
      </x:c>
      <x:c r="H36" s="26" t="str">
        <x:v>1. Open an existing session.
2. Force GET session detail to fail.</x:v>
      </x:c>
      <x:c r="I36" s="26" t="str">
        <x:v>Unable to resume reflection toast is shown and the screen leaves loading state.</x:v>
      </x:c>
      <x:c r="J36" s="26" t="str">
        <x:v>GET /api/v1/reflect/sessions/{id}/ throws or fails.</x:v>
      </x:c>
      <x:c r="K36" s="80" t="str">
        <x:v>No</x:v>
      </x:c>
      <x:c r="L36" s="26" t="str">
        <x:v>Manual gap</x:v>
      </x:c>
      <x:c r="M36" s="26" t="str">
        <x:v>Important for session recovery.</x:v>
      </x:c>
    </x:row>
    <x:row r="37">
      <x:c r="A37" s="26" t="str">
        <x:v>RF-033</x:v>
      </x:c>
      <x:c r="B37" s="26" t="str">
        <x:v>Entry</x:v>
      </x:c>
      <x:c r="C37" s="26" t="str">
        <x:v>ReflectionEntryScreen</x:v>
      </x:c>
      <x:c r="D37" s="74" t="str">
        <x:v>P1</x:v>
      </x:c>
      <x:c r="E37" s="26" t="str">
        <x:v>Negative</x:v>
      </x:c>
      <x:c r="F37" s="26" t="str">
        <x:v>Business failure on step save surfaces the API message.</x:v>
      </x:c>
      <x:c r="G37" s="26" t="str">
        <x:v>Editable step is active. Save API returns success=false or status=error.</x:v>
      </x:c>
      <x:c r="H37" s="26" t="str">
        <x:v>1. Enter a valid answer.
2. Tap Next Question.
3. Force save API to respond with an error payload.</x:v>
      </x:c>
      <x:c r="I37" s="26" t="str">
        <x:v>Unable to save reflection toast is shown and user remains on the same step.</x:v>
      </x:c>
      <x:c r="J37" s="26" t="str">
        <x:v>POST /steps/{step}/ returns error payload.</x:v>
      </x:c>
      <x:c r="K37" s="80" t="str">
        <x:v>No</x:v>
      </x:c>
      <x:c r="L37" s="26" t="str">
        <x:v>Manual gap</x:v>
      </x:c>
      <x:c r="M37" s="26" t="str">
        <x:v>Different from thrown network error.</x:v>
      </x:c>
    </x:row>
    <x:row r="38">
      <x:c r="A38" s="26" t="str">
        <x:v>RF-034</x:v>
      </x:c>
      <x:c r="B38" s="26" t="str">
        <x:v>Entry</x:v>
      </x:c>
      <x:c r="C38" s="26" t="str">
        <x:v>ReflectionEntryScreen</x:v>
      </x:c>
      <x:c r="D38" s="74" t="str">
        <x:v>P1</x:v>
      </x:c>
      <x:c r="E38" s="26" t="str">
        <x:v>Negative</x:v>
      </x:c>
      <x:c r="F38" s="26" t="str">
        <x:v>Thrown network error during step save shows the generic network message.</x:v>
      </x:c>
      <x:c r="G38" s="26" t="str">
        <x:v>Editable step is active. Save API throws.</x:v>
      </x:c>
      <x:c r="H38" s="26" t="str">
        <x:v>1. Enter a valid answer.
2. Tap Next Question.
3. Force save API to throw.</x:v>
      </x:c>
      <x:c r="I38" s="26" t="str">
        <x:v>Network error toast appears and user remains on the current step.</x:v>
      </x:c>
      <x:c r="J38" s="26" t="str">
        <x:v>Catch block in handleSaveCurrentStep fires.</x:v>
      </x:c>
      <x:c r="K38" s="80" t="str">
        <x:v>No</x:v>
      </x:c>
      <x:c r="L38" s="26" t="str">
        <x:v>Manual gap</x:v>
      </x:c>
      <x:c r="M38" s="26" t="str">
        <x:v>Should be verified for both mid-step and final-step save.</x:v>
      </x:c>
    </x:row>
    <x:row r="39">
      <x:c r="A39" s="26" t="str">
        <x:v>RF-035</x:v>
      </x:c>
      <x:c r="B39" s="26" t="str">
        <x:v>Entry</x:v>
      </x:c>
      <x:c r="C39" s="26" t="str">
        <x:v>ReflectionEntryScreen</x:v>
      </x:c>
      <x:c r="D39" s="74" t="str">
        <x:v>P1</x:v>
      </x:c>
      <x:c r="E39" s="26" t="str">
        <x:v>Negative</x:v>
      </x:c>
      <x:c r="F39" s="26" t="str">
        <x:v>Business failure on session completion shows an error and keeps the user in the flow.</x:v>
      </x:c>
      <x:c r="G39" s="26" t="str">
        <x:v>Final step save succeeded. Complete API returns success=false or status=error.</x:v>
      </x:c>
      <x:c r="H39" s="26" t="str">
        <x:v>1. Reach the final question.
2. Enter a valid answer.
3. Force complete API to return an error payload.</x:v>
      </x:c>
      <x:c r="I39" s="26" t="str">
        <x:v>Unable to complete reflection toast appears and review screen is not opened.</x:v>
      </x:c>
      <x:c r="J39" s="26" t="str">
        <x:v>POST /api/v1/reflect/sessions/{id}/complete/ returns error payload.</x:v>
      </x:c>
      <x:c r="K39" s="80" t="str">
        <x:v>No</x:v>
      </x:c>
      <x:c r="L39" s="26" t="str">
        <x:v>Manual gap</x:v>
      </x:c>
      <x:c r="M39" s="26" t="str">
        <x:v>Different from thrown network failure.</x:v>
      </x:c>
    </x:row>
    <x:row r="40">
      <x:c r="A40" s="26" t="str">
        <x:v>RF-036</x:v>
      </x:c>
      <x:c r="B40" s="26" t="str">
        <x:v>Entry</x:v>
      </x:c>
      <x:c r="C40" s="26" t="str">
        <x:v>ReflectionEntryScreen</x:v>
      </x:c>
      <x:c r="D40" s="88" t="str">
        <x:v>P2</x:v>
      </x:c>
      <x:c r="E40" s="26" t="str">
        <x:v>Happy Path</x:v>
      </x:c>
      <x:c r="F40" s="26" t="str">
        <x:v>Tag pill selection updates the chosen theme tag passed to the review screen.</x:v>
      </x:c>
      <x:c r="G40" s="26" t="str">
        <x:v>Entry screen has multiple tag pills.</x:v>
      </x:c>
      <x:c r="H40" s="26" t="str">
        <x:v>1. Open an entry screen.
2. Select a non-default tag pill.
3. Complete the reflection.</x:v>
      </x:c>
      <x:c r="I40" s="26" t="str">
        <x:v>Chosen tag is reflected on the submission/review screen meta chip.</x:v>
      </x:c>
      <x:c r="J40" s="26" t="str">
        <x:v>selectedTag is forwarded as journalThemeTag on completion route.</x:v>
      </x:c>
      <x:c r="K40" s="80" t="str">
        <x:v>No</x:v>
      </x:c>
      <x:c r="L40" s="26" t="str">
        <x:v>Manual gap</x:v>
      </x:c>
      <x:c r="M40" s="26" t="str">
        <x:v>Low-risk but useful acceptance case.</x:v>
      </x:c>
    </x:row>
    <x:row r="41">
      <x:c r="A41" s="26" t="str">
        <x:v>RF-037</x:v>
      </x:c>
      <x:c r="B41" s="26" t="str">
        <x:v>Entry</x:v>
      </x:c>
      <x:c r="C41" s="26" t="str">
        <x:v>ReflectionEntryScreen</x:v>
      </x:c>
      <x:c r="D41" s="88" t="str">
        <x:v>P2</x:v>
      </x:c>
      <x:c r="E41" s="26" t="str">
        <x:v>Navigation</x:v>
      </x:c>
      <x:c r="F41" s="26" t="str">
        <x:v>List icon from entry replaces route back to the reflection library.</x:v>
      </x:c>
      <x:c r="G41" s="26" t="str">
        <x:v>User is inside the entry flow.</x:v>
      </x:c>
      <x:c r="H41" s="26" t="str">
        <x:v>1. Tap the list icon in the header.</x:v>
      </x:c>
      <x:c r="I41" s="26" t="str">
        <x:v>User returns to the reflection library via replace navigation.</x:v>
      </x:c>
      <x:c r="J41" s="26" t="str">
        <x:v>Route replace to /(auth)/self-care/reflections.</x:v>
      </x:c>
      <x:c r="K41" s="80" t="str">
        <x:v>No</x:v>
      </x:c>
      <x:c r="L41" s="26" t="str">
        <x:v>Manual gap</x:v>
      </x:c>
      <x:c r="M41" s="26" t="str">
        <x:v>Useful escape hatch mid-session.</x:v>
      </x:c>
    </x:row>
    <x:row r="42">
      <x:c r="A42" s="26" t="str">
        <x:v>RF-038</x:v>
      </x:c>
      <x:c r="B42" s="26" t="str">
        <x:v>Archive</x:v>
      </x:c>
      <x:c r="C42" s="26" t="str">
        <x:v>ReflectionArchiveScreen</x:v>
      </x:c>
      <x:c r="D42" s="60" t="str">
        <x:v>P0</x:v>
      </x:c>
      <x:c r="E42" s="26" t="str">
        <x:v>Happy Path</x:v>
      </x:c>
      <x:c r="F42" s="26" t="str">
        <x:v>Archive loads sessions sorted by latest saved time with readable date labels.</x:v>
      </x:c>
      <x:c r="G42" s="26" t="str">
        <x:v>Archive API returns multiple sessions with different last_saved_at values.</x:v>
      </x:c>
      <x:c r="H42" s="26" t="str">
        <x:v>1. Open Reflection Archive.
2. Review the order of cards and their date labels.</x:v>
      </x:c>
      <x:c r="I42" s="26" t="str">
        <x:v>Newest last-saved session appears first and labels use friendly date/time formatting.</x:v>
      </x:c>
      <x:c r="J42" s="26" t="str">
        <x:v>GET /api/v1/reflect/sessions/ succeeds and cards are sorted descending by last_saved_at or started_at.</x:v>
      </x:c>
      <x:c r="K42" s="66" t="str">
        <x:v>Yes</x:v>
      </x:c>
      <x:c r="L42" s="26" t="str">
        <x:v>ReflectionArchiveScreen.test.tsx</x:v>
      </x:c>
      <x:c r="M42" s="26" t="str">
        <x:v>Archive first-impression case.</x:v>
      </x:c>
    </x:row>
    <x:row r="43">
      <x:c r="A43" s="26" t="str">
        <x:v>RF-039</x:v>
      </x:c>
      <x:c r="B43" s="26" t="str">
        <x:v>Archive</x:v>
      </x:c>
      <x:c r="C43" s="26" t="str">
        <x:v>ReflectionArchiveScreen</x:v>
      </x:c>
      <x:c r="D43" s="60" t="str">
        <x:v>P0</x:v>
      </x:c>
      <x:c r="E43" s="26" t="str">
        <x:v>Filter</x:v>
      </x:c>
      <x:c r="F43" s="26" t="str">
        <x:v>In Progress filter requests both in_progress and draft statuses and shows both.</x:v>
      </x:c>
      <x:c r="G43" s="26" t="str">
        <x:v>Archive API has sessions in draft and in_progress.</x:v>
      </x:c>
      <x:c r="H43" s="26" t="str">
        <x:v>1. Open Reflection Archive.
2. Tap the In Progress pill.</x:v>
      </x:c>
      <x:c r="I43" s="26" t="str">
        <x:v>List shows both draft and in_progress sessions labeled as In Progress.</x:v>
      </x:c>
      <x:c r="J43" s="26" t="str">
        <x:v>GET /api/v1/reflect/sessions/?status=in_progress&amp;status=draft.</x:v>
      </x:c>
      <x:c r="K43" s="66" t="str">
        <x:v>Yes</x:v>
      </x:c>
      <x:c r="L43" s="26" t="str">
        <x:v>ReflectionArchiveScreen.test.tsx</x:v>
      </x:c>
      <x:c r="M43" s="26" t="str">
        <x:v>Maps server statuses into one UX bucket.</x:v>
      </x:c>
    </x:row>
    <x:row r="44">
      <x:c r="A44" s="26" t="str">
        <x:v>RF-040</x:v>
      </x:c>
      <x:c r="B44" s="26" t="str">
        <x:v>Archive</x:v>
      </x:c>
      <x:c r="C44" s="26" t="str">
        <x:v>ReflectionArchiveScreen</x:v>
      </x:c>
      <x:c r="D44" s="60" t="str">
        <x:v>P0</x:v>
      </x:c>
      <x:c r="E44" s="26" t="str">
        <x:v>Filter</x:v>
      </x:c>
      <x:c r="F44" s="26" t="str">
        <x:v>Completed filter requests only completed sessions.</x:v>
      </x:c>
      <x:c r="G44" s="26" t="str">
        <x:v>Archive API has mixed statuses.</x:v>
      </x:c>
      <x:c r="H44" s="26" t="str">
        <x:v>1. Open Reflection Archive.
2. Tap the Completed pill.</x:v>
      </x:c>
      <x:c r="I44" s="26" t="str">
        <x:v>Only completed sessions remain visible.</x:v>
      </x:c>
      <x:c r="J44" s="26" t="str">
        <x:v>GET /api/v1/reflect/sessions/?status=completed.</x:v>
      </x:c>
      <x:c r="K44" s="66" t="str">
        <x:v>Yes</x:v>
      </x:c>
      <x:c r="L44" s="26" t="str">
        <x:v>ReflectionArchiveScreen.test.tsx</x:v>
      </x:c>
      <x:c r="M44" s="26" t="str">
        <x:v>Regression guard for server query contract.</x:v>
      </x:c>
    </x:row>
    <x:row r="45">
      <x:c r="A45" s="26" t="str">
        <x:v>RF-041</x:v>
      </x:c>
      <x:c r="B45" s="26" t="str">
        <x:v>Archive</x:v>
      </x:c>
      <x:c r="C45" s="26" t="str">
        <x:v>ReflectionArchiveScreen</x:v>
      </x:c>
      <x:c r="D45" s="60" t="str">
        <x:v>P0</x:v>
      </x:c>
      <x:c r="E45" s="26" t="str">
        <x:v>Navigation</x:v>
      </x:c>
      <x:c r="F45" s="26" t="str">
        <x:v>Clicking a completed archive card opens the review screen.</x:v>
      </x:c>
      <x:c r="G45" s="26" t="str">
        <x:v>Archive contains at least one completed session.</x:v>
      </x:c>
      <x:c r="H45" s="26" t="str">
        <x:v>1. Open Reflection Archive.
2. Tap a completed session card.</x:v>
      </x:c>
      <x:c r="I45" s="26" t="str">
        <x:v>Review/submission screen opens with journalSessionId and review context.</x:v>
      </x:c>
      <x:c r="J45" s="26" t="str">
        <x:v>Route pushes /(auth)/self-care/reflections/submission for completed status.</x:v>
      </x:c>
      <x:c r="K45" s="66" t="str">
        <x:v>Yes</x:v>
      </x:c>
      <x:c r="L45" s="26" t="str">
        <x:v>ReflectionArchiveScreen.test.tsx</x:v>
      </x:c>
      <x:c r="M45" s="26" t="str">
        <x:v>Completed archive review path.</x:v>
      </x:c>
    </x:row>
    <x:row r="46">
      <x:c r="A46" s="26" t="str">
        <x:v>RF-042</x:v>
      </x:c>
      <x:c r="B46" s="26" t="str">
        <x:v>Archive</x:v>
      </x:c>
      <x:c r="C46" s="26" t="str">
        <x:v>ReflectionArchiveScreen</x:v>
      </x:c>
      <x:c r="D46" s="60" t="str">
        <x:v>P0</x:v>
      </x:c>
      <x:c r="E46" s="26" t="str">
        <x:v>Navigation</x:v>
      </x:c>
      <x:c r="F46" s="26" t="str">
        <x:v>Clicking an in-progress or draft archive card opens detail with session id.</x:v>
      </x:c>
      <x:c r="G46" s="26" t="str">
        <x:v>Archive contains an active session.</x:v>
      </x:c>
      <x:c r="H46" s="26" t="str">
        <x:v>1. Open Reflection Archive.
2. Tap an in-progress or draft session card.</x:v>
      </x:c>
      <x:c r="I46" s="26" t="str">
        <x:v>Detail screen opens and preserves the existing session id for resume.</x:v>
      </x:c>
      <x:c r="J46" s="26" t="str">
        <x:v>Route pushes /(auth)/self-care/reflections/detail/[journalSlug] with journalSessionId.</x:v>
      </x:c>
      <x:c r="K46" s="66" t="str">
        <x:v>Yes</x:v>
      </x:c>
      <x:c r="L46" s="26" t="str">
        <x:v>ReflectionArchiveScreen.test.tsx</x:v>
      </x:c>
      <x:c r="M46" s="26" t="str">
        <x:v>Archive resume path.</x:v>
      </x:c>
    </x:row>
    <x:row r="47">
      <x:c r="A47" s="26" t="str">
        <x:v>RF-043</x:v>
      </x:c>
      <x:c r="B47" s="26" t="str">
        <x:v>Archive</x:v>
      </x:c>
      <x:c r="C47" s="26" t="str">
        <x:v>ReflectionArchiveScreen</x:v>
      </x:c>
      <x:c r="D47" s="88" t="str">
        <x:v>P2</x:v>
      </x:c>
      <x:c r="E47" s="26" t="str">
        <x:v>Empty State</x:v>
      </x:c>
      <x:c r="F47" s="26" t="str">
        <x:v>Archive empty state is shown when the chosen filter has no sessions.</x:v>
      </x:c>
      <x:c r="G47" s="26" t="str">
        <x:v>Filter result set is empty.</x:v>
      </x:c>
      <x:c r="H47" s="26" t="str">
        <x:v>1. Open Reflection Archive.
2. Switch to a filter with no matching sessions.</x:v>
      </x:c>
      <x:c r="I47" s="26" t="str">
        <x:v>Empty-state icon and copy are shown without layout breakage.</x:v>
      </x:c>
      <x:c r="J47" s="26" t="str">
        <x:v>visibleReflections.length === 0 after filtering.</x:v>
      </x:c>
      <x:c r="K47" s="80" t="str">
        <x:v>No</x:v>
      </x:c>
      <x:c r="L47" s="26" t="str">
        <x:v>Manual gap</x:v>
      </x:c>
      <x:c r="M47" s="26" t="str">
        <x:v>Applies to both all-empty and filter-empty results.</x:v>
      </x:c>
    </x:row>
    <x:row r="48">
      <x:c r="A48" s="26" t="str">
        <x:v>RF-044</x:v>
      </x:c>
      <x:c r="B48" s="26" t="str">
        <x:v>Archive</x:v>
      </x:c>
      <x:c r="C48" s="26" t="str">
        <x:v>ReflectionArchiveScreen</x:v>
      </x:c>
      <x:c r="D48" s="74" t="str">
        <x:v>P1</x:v>
      </x:c>
      <x:c r="E48" s="26" t="str">
        <x:v>Negative</x:v>
      </x:c>
      <x:c r="F48" s="26" t="str">
        <x:v>Archive session API failure does not crash the screen.</x:v>
      </x:c>
      <x:c r="G48" s="26" t="str">
        <x:v>Archive API fails.</x:v>
      </x:c>
      <x:c r="H48" s="26" t="str">
        <x:v>1. Open Reflection Archive while session API fails.
2. Observe fallback state after loading ends.</x:v>
      </x:c>
      <x:c r="I48" s="26" t="str">
        <x:v>Screen remains stable and shows no cards instead of crashing.</x:v>
      </x:c>
      <x:c r="J48" s="26" t="str">
        <x:v>Catch branch clears reflections and ends loading.</x:v>
      </x:c>
      <x:c r="K48" s="80" t="str">
        <x:v>No</x:v>
      </x:c>
      <x:c r="L48" s="26" t="str">
        <x:v>Manual gap</x:v>
      </x:c>
      <x:c r="M48" s="26" t="str">
        <x:v>Current fallback is an empty archive.</x:v>
      </x:c>
    </x:row>
    <x:row r="49">
      <x:c r="A49" s="26" t="str">
        <x:v>RF-045</x:v>
      </x:c>
      <x:c r="B49" s="26" t="str">
        <x:v>Review</x:v>
      </x:c>
      <x:c r="C49" s="26" t="str">
        <x:v>ReflectionSubmissionScreen</x:v>
      </x:c>
      <x:c r="D49" s="60" t="str">
        <x:v>P0</x:v>
      </x:c>
      <x:c r="E49" s="26" t="str">
        <x:v>Async State</x:v>
      </x:c>
      <x:c r="F49" s="26" t="str">
        <x:v>Review screen polls session detail when a session id is available.</x:v>
      </x:c>
      <x:c r="G49" s="26" t="str">
        <x:v>Submission/review route includes journalSessionId.</x:v>
      </x:c>
      <x:c r="H49" s="26" t="str">
        <x:v>1. Complete a reflection or open a completed archive session.
2. Observe the review screen shortly after opening.</x:v>
      </x:c>
      <x:c r="I49" s="26" t="str">
        <x:v>Screen requests fresh session detail and keeps polling until summary is present or retry limit is reached.</x:v>
      </x:c>
      <x:c r="J49" s="26" t="str">
        <x:v>GET /api/v1/reflect/sessions/{id}/ repeats until summary_text exists or attempts max out.</x:v>
      </x:c>
      <x:c r="K49" s="80" t="str">
        <x:v>No</x:v>
      </x:c>
      <x:c r="L49" s="26" t="str">
        <x:v>Manual gap</x:v>
      </x:c>
      <x:c r="M49" s="26" t="str">
        <x:v>Polling behavior is not explicitly asserted today.</x:v>
      </x:c>
    </x:row>
    <x:row r="50">
      <x:c r="A50" s="26" t="str">
        <x:v>RF-046</x:v>
      </x:c>
      <x:c r="B50" s="26" t="str">
        <x:v>Review</x:v>
      </x:c>
      <x:c r="C50" s="26" t="str">
        <x:v>ReflectionSubmissionScreen</x:v>
      </x:c>
      <x:c r="D50" s="60" t="str">
        <x:v>P0</x:v>
      </x:c>
      <x:c r="E50" s="26" t="str">
        <x:v>Happy Path</x:v>
      </x:c>
      <x:c r="F50" s="26" t="str">
        <x:v>Full summary text is visible without truncation.</x:v>
      </x:c>
      <x:c r="G50" s="26" t="str">
        <x:v>Completed session has summary_text.</x:v>
      </x:c>
      <x:c r="H50" s="26" t="str">
        <x:v>1. Open a completed session review screen.
2. Read the summary card.</x:v>
      </x:c>
      <x:c r="I50" s="26" t="str">
        <x:v>Entire summary_text is visible and not clipped to a fixed number of lines.</x:v>
      </x:c>
      <x:c r="J50" s="26" t="str">
        <x:v>summaryText renders directly from summary_text when present.</x:v>
      </x:c>
      <x:c r="K50" s="66" t="str">
        <x:v>Yes</x:v>
      </x:c>
      <x:c r="L50" s="26" t="str">
        <x:v>ReflectionSubmissionScreen.test.tsx</x:v>
      </x:c>
      <x:c r="M50" s="26" t="str">
        <x:v>Addresses recent UX request.</x:v>
      </x:c>
    </x:row>
    <x:row r="51">
      <x:c r="A51" s="26" t="str">
        <x:v>RF-047</x:v>
      </x:c>
      <x:c r="B51" s="26" t="str">
        <x:v>Review</x:v>
      </x:c>
      <x:c r="C51" s="26" t="str">
        <x:v>ReflectionSubmissionScreen</x:v>
      </x:c>
      <x:c r="D51" s="60" t="str">
        <x:v>P0</x:v>
      </x:c>
      <x:c r="E51" s="26" t="str">
        <x:v>Pending State</x:v>
      </x:c>
      <x:c r="F51" s="26" t="str">
        <x:v>Summary placeholder appears when summary is not ready yet.</x:v>
      </x:c>
      <x:c r="G51" s="26" t="str">
        <x:v>Completed session exists but summary_text is blank or summary generation failed.</x:v>
      </x:c>
      <x:c r="H51" s="26" t="str">
        <x:v>1. Open review screen for a completed session with no summary_text.
2. Wait for polling to settle.</x:v>
      </x:c>
      <x:c r="I51" s="26" t="str">
        <x:v>Summary not ready yet placeholder is shown with check-back-later guidance.</x:v>
      </x:c>
      <x:c r="J51" s="26" t="str">
        <x:v>showSummaryPlaceholder is true when summary is absent and not actively loading.</x:v>
      </x:c>
      <x:c r="K51" s="66" t="str">
        <x:v>Yes</x:v>
      </x:c>
      <x:c r="L51" s="26" t="str">
        <x:v>ReflectionSubmissionScreen.test.tsx</x:v>
      </x:c>
      <x:c r="M51" s="26" t="str">
        <x:v>Current summary generation fallback.</x:v>
      </x:c>
    </x:row>
    <x:row r="52">
      <x:c r="A52" s="26" t="str">
        <x:v>RF-048</x:v>
      </x:c>
      <x:c r="B52" s="26" t="str">
        <x:v>Review</x:v>
      </x:c>
      <x:c r="C52" s="26" t="str">
        <x:v>ReflectionSubmissionScreen</x:v>
      </x:c>
      <x:c r="D52" s="60" t="str">
        <x:v>P0</x:v>
      </x:c>
      <x:c r="E52" s="26" t="str">
        <x:v>Happy Path</x:v>
      </x:c>
      <x:c r="F52" s="26" t="str">
        <x:v>Response review shows prompts and answers in step order.</x:v>
      </x:c>
      <x:c r="G52" s="26" t="str">
        <x:v>Completed session has response objects with step_number values.</x:v>
      </x:c>
      <x:c r="H52" s="26" t="str">
        <x:v>1. Open a completed review screen.
2. Inspect the response review section from top to bottom.</x:v>
      </x:c>
      <x:c r="I52" s="26" t="str">
        <x:v>Questions and answers are shown in ascending step order with premium card styling.</x:v>
      </x:c>
      <x:c r="J52" s="26" t="str">
        <x:v>responses are sorted by step_number before rendering.</x:v>
      </x:c>
      <x:c r="K52" s="66" t="str">
        <x:v>Yes</x:v>
      </x:c>
      <x:c r="L52" s="26" t="str">
        <x:v>ReflectionSubmissionScreen.test.tsx</x:v>
      </x:c>
      <x:c r="M52" s="26" t="str">
        <x:v>Archive review detail case.</x:v>
      </x:c>
    </x:row>
    <x:row r="53">
      <x:c r="A53" s="26" t="str">
        <x:v>RF-049</x:v>
      </x:c>
      <x:c r="B53" s="26" t="str">
        <x:v>Review</x:v>
      </x:c>
      <x:c r="C53" s="26" t="str">
        <x:v>ReflectionSubmissionScreen</x:v>
      </x:c>
      <x:c r="D53" s="74" t="str">
        <x:v>P1</x:v>
      </x:c>
      <x:c r="E53" s="26" t="str">
        <x:v>Navigation</x:v>
      </x:c>
      <x:c r="F53" s="26" t="str">
        <x:v>Return to Archive button and header action both go back to archive.</x:v>
      </x:c>
      <x:c r="G53" s="26" t="str">
        <x:v>User is on the review screen.</x:v>
      </x:c>
      <x:c r="H53" s="26" t="str">
        <x:v>1. Tap the archive icon in the header.
2. Reopen the review screen and tap Return to Archive.</x:v>
      </x:c>
      <x:c r="I53" s="26" t="str">
        <x:v>Both actions replace the route back to the archive screen.</x:v>
      </x:c>
      <x:c r="J53" s="26" t="str">
        <x:v>Route replace to /(auth)/self-care/reflections/archive.</x:v>
      </x:c>
      <x:c r="K53" s="80" t="str">
        <x:v>No</x:v>
      </x:c>
      <x:c r="L53" s="26" t="str">
        <x:v>Manual gap</x:v>
      </x:c>
      <x:c r="M53" s="26" t="str">
        <x:v>Simple navigation regression guard.</x:v>
      </x:c>
    </x:row>
    <x:row r="54">
      <x:c r="A54" s="26" t="str">
        <x:v>RF-050</x:v>
      </x:c>
      <x:c r="B54" s="26" t="str">
        <x:v>Review</x:v>
      </x:c>
      <x:c r="C54" s="26" t="str">
        <x:v>ReflectionSubmissionScreen</x:v>
      </x:c>
      <x:c r="D54" s="88" t="str">
        <x:v>P2</x:v>
      </x:c>
      <x:c r="E54" s="26" t="str">
        <x:v>Edge Case</x:v>
      </x:c>
      <x:c r="F54" s="26" t="str">
        <x:v>Opening the review screen without a session id still shows a generic saved state.</x:v>
      </x:c>
      <x:c r="G54" s="26" t="str">
        <x:v>Submission route is opened without journalSessionId but with basic params.</x:v>
      </x:c>
      <x:c r="H54" s="26" t="str">
        <x:v>1. Open the submission route without journalSessionId.
2. Observe the hero and summary areas.</x:v>
      </x:c>
      <x:c r="I54" s="26" t="str">
        <x:v>Generic saved reflection message is shown without polling or crashing.</x:v>
      </x:c>
      <x:c r="J54" s="26" t="str">
        <x:v>Polling effect short-circuits when reflectionSessionId is null.</x:v>
      </x:c>
      <x:c r="K54" s="80" t="str">
        <x:v>No</x:v>
      </x:c>
      <x:c r="L54" s="26" t="str">
        <x:v>Manual gap</x:v>
      </x:c>
      <x:c r="M54" s="26" t="str">
        <x:v>Useful fallback for malformed deep links.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95279da95048462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.290000915527344" hidden="0" customWidth="1"/>
    <x:col min="2" max="2" width="16.43000030517578" hidden="0" customWidth="1"/>
    <x:col min="3" max="3" width="33.56999969482422" hidden="0" customWidth="1"/>
    <x:col min="4" max="4" width="33.56999969482422" hidden="0" customWidth="1"/>
    <x:col min="5" max="5" width="30.709999084472656" hidden="0" customWidth="1"/>
  </x:cols>
  <x:sheetData>
    <x:row r="1" ht="22.5" customHeight="1">
      <x:c r="A1" s="6" t="str">
        <x:v>Current Automation Map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 ht="22.5" customHeight="1">
      <x:c r="A2" s="12" t="str">
        <x:v>Maps existing Jest coverage to the reflection test matrix so manual gaps are easy to spot.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 ht="21" customHeight="1">
      <x:c r="A4" s="22" t="str">
        <x:v>Test File</x:v>
      </x:c>
      <x:c r="B4" s="22" t="str">
        <x:v>Flow Area</x:v>
      </x:c>
      <x:c r="C4" s="22" t="str">
        <x:v>Covered IDs</x:v>
      </x:c>
      <x:c r="D4" s="22" t="str">
        <x:v>Open Gaps</x:v>
      </x:c>
      <x:c r="E4" s="22" t="str">
        <x:v>Comment</x:v>
      </x:c>
    </x:row>
    <x:row r="5">
      <x:c r="A5" s="26" t="str">
        <x:v>features/self-care/screens/__tests__/ReflectionsScreen.test.tsx</x:v>
      </x:c>
      <x:c r="B5" s="26" t="str">
        <x:v>Explore Library</x:v>
      </x:c>
      <x:c r="C5" s="26" t="str">
        <x:v>RF-001, RF-003, RF-004</x:v>
      </x:c>
      <x:c r="D5" s="26" t="str">
        <x:v>RF-002, RF-005 to RF-010</x:v>
      </x:c>
      <x:c r="E5" s="26" t="str">
        <x:v>Covers session rail mapping and navigation basics.</x:v>
      </x:c>
    </x:row>
    <x:row r="6">
      <x:c r="A6" s="26" t="str">
        <x:v>features/self-care/screens/__tests__/ReflectionDetailScreen.test.tsx</x:v>
      </x:c>
      <x:c r="B6" s="26" t="str">
        <x:v>Detail</x:v>
      </x:c>
      <x:c r="C6" s="26" t="str">
        <x:v>RF-011, RF-013, RF-014, RF-015, RF-017, RF-018</x:v>
      </x:c>
      <x:c r="D6" s="26" t="str">
        <x:v>RF-012, RF-016, RF-019 to RF-022</x:v>
      </x:c>
      <x:c r="E6" s="26" t="str">
        <x:v>Strong happy-path and conflict-flow coverage.</x:v>
      </x:c>
    </x:row>
    <x:row r="7">
      <x:c r="A7" s="26" t="str">
        <x:v>features/self-care/screens/__tests__/ReflectionEntryScreen.test.tsx</x:v>
      </x:c>
      <x:c r="B7" s="26" t="str">
        <x:v>Entry</x:v>
      </x:c>
      <x:c r="C7" s="26" t="str">
        <x:v>RF-023, RF-024, RF-025, RF-026 (partial), RF-029 (partial)</x:v>
      </x:c>
      <x:c r="D7" s="26" t="str">
        <x:v>RF-027 to RF-028, RF-030 to RF-037</x:v>
      </x:c>
      <x:c r="E7" s="26" t="str">
        <x:v>Resume-flow behavior is tested; error handling still needs broader coverage.</x:v>
      </x:c>
    </x:row>
    <x:row r="8">
      <x:c r="A8" s="26" t="str">
        <x:v>features/self-care/screens/__tests__/ReflectionArchiveScreen.test.tsx</x:v>
      </x:c>
      <x:c r="B8" s="26" t="str">
        <x:v>Archive</x:v>
      </x:c>
      <x:c r="C8" s="26" t="str">
        <x:v>RF-038, RF-039, RF-040, RF-041, RF-042</x:v>
      </x:c>
      <x:c r="D8" s="26" t="str">
        <x:v>RF-043, RF-044</x:v>
      </x:c>
      <x:c r="E8" s="26" t="str">
        <x:v>Good filter and routing coverage.</x:v>
      </x:c>
    </x:row>
    <x:row r="9">
      <x:c r="A9" s="26" t="str">
        <x:v>features/self-care/screens/__tests__/ReflectionSubmissionScreen.test.tsx</x:v>
      </x:c>
      <x:c r="B9" s="26" t="str">
        <x:v>Review</x:v>
      </x:c>
      <x:c r="C9" s="26" t="str">
        <x:v>RF-046, RF-047, RF-048</x:v>
      </x:c>
      <x:c r="D9" s="26" t="str">
        <x:v>RF-045, RF-049, RF-050</x:v>
      </x:c>
      <x:c r="E9" s="26" t="str">
        <x:v>Review rendering is covered; polling/navigation still need explicit tests.</x:v>
      </x:c>
    </x:row>
    <x:row r="10">
      <x:c r="A10" s="26" t="str">
        <x:v>components/ui/modal/__tests__/ActionModal.test.tsx</x:v>
      </x:c>
      <x:c r="B10" s="26" t="str">
        <x:v>Common Modal</x:v>
      </x:c>
      <x:c r="C10" s="26" t="str">
        <x:v>RF-016 (partial), RF-019 (partial)</x:v>
      </x:c>
      <x:c r="D10" s="26" t="str">
        <x:v>Manual visual verification still needed</x:v>
      </x:c>
      <x:c r="E10" s="26" t="str">
        <x:v>Covers action wiring, busy-state behavior, and opt-out close behavior.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5bd8125173ac436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13999938964844" hidden="0" customWidth="1"/>
    <x:col min="2" max="2" width="19.290000915527344" hidden="0" customWidth="1"/>
    <x:col min="3" max="3" width="27.860000610351562" hidden="0" customWidth="1"/>
    <x:col min="4" max="4" width="33.56999969482422" hidden="0" customWidth="1"/>
    <x:col min="5" max="5" width="30.709999084472656" hidden="0" customWidth="1"/>
    <x:col min="6" max="6" width="30.709999084472656" hidden="0" customWidth="1"/>
  </x:cols>
  <x:sheetData>
    <x:row r="1" ht="22.5" customHeight="1">
      <x:c r="A1" s="6" t="str">
        <x:v>Reflection API and State Matrix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 ht="22.5" customHeight="1">
      <x:c r="A2" s="12" t="str">
        <x:v>Endpoint-by-endpoint validation notes for success, recovery, and route-state behavior.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 ht="21" customHeight="1">
      <x:c r="A4" s="22" t="str">
        <x:v>Endpoint</x:v>
      </x:c>
      <x:c r="B4" s="22" t="str">
        <x:v>Used In</x:v>
      </x:c>
      <x:c r="C4" s="22" t="str">
        <x:v>Happy Path</x:v>
      </x:c>
      <x:c r="D4" s="22" t="str">
        <x:v>Negative / Recovery</x:v>
      </x:c>
      <x:c r="E4" s="22" t="str">
        <x:v>Params / Query Notes</x:v>
      </x:c>
      <x:c r="F4" s="22" t="str">
        <x:v>Current Code Notes</x:v>
      </x:c>
    </x:row>
    <x:row r="5">
      <x:c r="A5" s="26" t="str">
        <x:v>GET /api/v1/reflect/templates/</x:v>
      </x:c>
      <x:c r="B5" s="26" t="str">
        <x:v>Reflection library</x:v>
      </x:c>
      <x:c r="C5" s="26" t="str">
        <x:v>Loads template cards and pill options.</x:v>
      </x:c>
      <x:c r="D5" s="26" t="str">
        <x:v>If it fails, library should stay stable and show fallback state.</x:v>
      </x:c>
      <x:c r="E5" s="26" t="str">
        <x:v>No extra params in current flow.</x:v>
      </x:c>
      <x:c r="F5" s="26" t="str">
        <x:v>Used by ReflectionsScreen.</x:v>
      </x:c>
    </x:row>
    <x:row r="6">
      <x:c r="A6" s="26" t="str">
        <x:v>GET /api/v1/reflect/categories/</x:v>
      </x:c>
      <x:c r="B6" s="26" t="str">
        <x:v>Reflection library</x:v>
      </x:c>
      <x:c r="C6" s="26" t="str">
        <x:v>Future category source when endpoint is live.</x:v>
      </x:c>
      <x:c r="D6" s="26" t="str">
        <x:v>Currently should not block template rendering.</x:v>
      </x:c>
      <x:c r="E6" s="26" t="str">
        <x:v>Disabled intentionally for now.</x:v>
      </x:c>
      <x:c r="F6" s="26" t="str">
        <x:v>Add coverage once endpoint is re-enabled.</x:v>
      </x:c>
    </x:row>
    <x:row r="7">
      <x:c r="A7" s="26" t="str">
        <x:v>GET /api/v1/reflect/templates/{slug}/</x:v>
      </x:c>
      <x:c r="B7" s="26" t="str">
        <x:v>Detail screen</x:v>
      </x:c>
      <x:c r="C7" s="26" t="str">
        <x:v>Loads template hero, benefits, question payload.</x:v>
      </x:c>
      <x:c r="D7" s="26" t="str">
        <x:v>Should show empty state if slug is invalid or response is empty.</x:v>
      </x:c>
      <x:c r="E7" s="26" t="str">
        <x:v>slug comes from journalSlug route param.</x:v>
      </x:c>
      <x:c r="F7" s="26" t="str">
        <x:v>Used by ReflectionDetailScreen.</x:v>
      </x:c>
    </x:row>
    <x:row r="8">
      <x:c r="A8" s="26" t="str">
        <x:v>GET /api/v1/reflect/sessions/?status=in_progress</x:v>
      </x:c>
      <x:c r="B8" s="26" t="str">
        <x:v>Explore and detail screens</x:v>
      </x:c>
      <x:c r="C8" s="26" t="str">
        <x:v>Loads active sessions for resume rails and conflict detection.</x:v>
      </x:c>
      <x:c r="D8" s="26" t="str">
        <x:v>If it fails on detail, user should still be able to start a fresh session.</x:v>
      </x:c>
      <x:c r="E8" s="26" t="str">
        <x:v>Current explore screen is sensitive because templates + sessions are fetched via Promise.all.</x:v>
      </x:c>
      <x:c r="F8" s="26" t="str">
        <x:v>Covers matched and unmatched slug handling.</x:v>
      </x:c>
    </x:row>
    <x:row r="9">
      <x:c r="A9" s="26" t="str">
        <x:v>GET /api/v1/reflect/sessions/?status=in_progress&amp;status=draft</x:v>
      </x:c>
      <x:c r="B9" s="26" t="str">
        <x:v>Archive screen</x:v>
      </x:c>
      <x:c r="C9" s="26" t="str">
        <x:v>Loads active archive bucket.</x:v>
      </x:c>
      <x:c r="D9" s="26" t="str">
        <x:v>If empty, show archive empty state.</x:v>
      </x:c>
      <x:c r="E9" s="26" t="str">
        <x:v>Archive in-progress pill combines draft + in_progress.</x:v>
      </x:c>
      <x:c r="F9" s="26" t="str">
        <x:v>UX label should remain In Progress.</x:v>
      </x:c>
    </x:row>
    <x:row r="10">
      <x:c r="A10" s="26" t="str">
        <x:v>GET /api/v1/reflect/sessions/?status=completed</x:v>
      </x:c>
      <x:c r="B10" s="26" t="str">
        <x:v>Archive screen</x:v>
      </x:c>
      <x:c r="C10" s="26" t="str">
        <x:v>Loads completed archive bucket.</x:v>
      </x:c>
      <x:c r="D10" s="26" t="str">
        <x:v>If empty, show archive empty state.</x:v>
      </x:c>
      <x:c r="E10" s="26" t="str">
        <x:v>Completed pill should exclude draft/in_progress.</x:v>
      </x:c>
      <x:c r="F10" s="26" t="str">
        <x:v>Routing from these cards goes to review.</x:v>
      </x:c>
    </x:row>
    <x:row r="11">
      <x:c r="A11" s="26" t="str">
        <x:v>POST /api/v1/reflect/sessions/</x:v>
      </x:c>
      <x:c r="B11" s="26" t="str">
        <x:v>Start reflection</x:v>
      </x:c>
      <x:c r="C11" s="26" t="str">
        <x:v>Creates a new session and returns session id.</x:v>
      </x:c>
      <x:c r="D11" s="26" t="str">
        <x:v>If it fails, stay on detail screen and show error toast.</x:v>
      </x:c>
      <x:c r="E11" s="26" t="str">
        <x:v>Payload includes template_slug, trigger_source, trigger_metadata.entry_point.</x:v>
      </x:c>
      <x:c r="F11" s="26" t="str">
        <x:v>Used for fresh start only.</x:v>
      </x:c>
    </x:row>
    <x:row r="12">
      <x:c r="A12" s="26" t="str">
        <x:v>POST /api/v1/reflect/sessions/{id}/abandon/</x:v>
      </x:c>
      <x:c r="B12" s="26" t="str">
        <x:v>Start New Session conflict flow</x:v>
      </x:c>
      <x:c r="C12" s="26" t="str">
        <x:v>Closes previous same-template session before creating a new one.</x:v>
      </x:c>
      <x:c r="D12" s="26" t="str">
        <x:v>If it fails, keep the user on the modal and do not create a new session.</x:v>
      </x:c>
      <x:c r="E12" s="26" t="str">
        <x:v>Only used when a same-template active session exists.</x:v>
      </x:c>
      <x:c r="F12" s="26" t="str">
        <x:v>Used by ReflectionDetailScreen.</x:v>
      </x:c>
    </x:row>
    <x:row r="13">
      <x:c r="A13" s="26" t="str">
        <x:v>GET /api/v1/reflect/sessions/{id}/</x:v>
      </x:c>
      <x:c r="B13" s="26" t="str">
        <x:v>Entry and review screens</x:v>
      </x:c>
      <x:c r="C13" s="26" t="str">
        <x:v>Hydrates saved answers and review summary/responses.</x:v>
      </x:c>
      <x:c r="D13" s="26" t="str">
        <x:v>If it fails during resume, show error toast and end loading.</x:v>
      </x:c>
      <x:c r="E13" s="26" t="str">
        <x:v>Review screen polls this endpoint while waiting for summary_text.</x:v>
      </x:c>
      <x:c r="F13" s="26" t="str">
        <x:v>Used by ReflectionEntryScreen and ReflectionSubmissionScreen.</x:v>
      </x:c>
    </x:row>
    <x:row r="14">
      <x:c r="A14" s="26" t="str">
        <x:v>POST /api/v1/reflect/sessions/{id}/steps/{step}/</x:v>
      </x:c>
      <x:c r="B14" s="26" t="str">
        <x:v>Entry screen</x:v>
      </x:c>
      <x:c r="C14" s="26" t="str">
        <x:v>Saves each answer and updates current question.</x:v>
      </x:c>
      <x:c r="D14" s="26" t="str">
        <x:v>If it fails, user should stay on the current step and see an error.</x:v>
      </x:c>
      <x:c r="E14" s="26" t="str">
        <x:v>Final step save happens before completion call.</x:v>
      </x:c>
      <x:c r="F14" s="26" t="str">
        <x:v>Used by ReflectionEntryScreen.</x:v>
      </x:c>
    </x:row>
    <x:row r="15">
      <x:c r="A15" s="26" t="str">
        <x:v>POST /api/v1/reflect/sessions/{id}/complete/</x:v>
      </x:c>
      <x:c r="B15" s="26" t="str">
        <x:v>Entry screen</x:v>
      </x:c>
      <x:c r="C15" s="26" t="str">
        <x:v>Marks the reflection complete and returns completion payload.</x:v>
      </x:c>
      <x:c r="D15" s="26" t="str">
        <x:v>If it fails, review screen should not open.</x:v>
      </x:c>
      <x:c r="E15" s="26" t="str">
        <x:v>Called only after final answer save succeeds.</x:v>
      </x:c>
      <x:c r="F15" s="26" t="str">
        <x:v>Used by ReflectionEntryScreen.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64d4877626bd45dd"/>
  </x:tableParts>
</x:worksheet>
</file>